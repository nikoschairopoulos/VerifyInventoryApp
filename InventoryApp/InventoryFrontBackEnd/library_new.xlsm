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comments11.xml" ContentType="application/vnd.openxmlformats-officedocument.spreadsheetml.comments+xml"/>
  <Override PartName="/xl/comments8.xml" ContentType="application/vnd.openxmlformats-officedocument.spreadsheetml.comments+xml"/>
  <Override PartName="/xl/comments7.xml" ContentType="application/vnd.openxmlformats-officedocument.spreadsheetml.comments+xml"/>
  <Override PartName="/xl/drawings/_rels/drawing1.xml.rels" ContentType="application/vnd.openxmlformats-package.relationships+xml"/>
  <Override PartName="/xl/drawings/_rels/drawing4.xml.rels" ContentType="application/vnd.openxmlformats-package.relationships+xml"/>
  <Override PartName="/xl/drawings/_rels/drawing2.xml.rels" ContentType="application/vnd.openxmlformats-package.relationships+xml"/>
  <Override PartName="/xl/drawings/_rels/drawing5.xml.rels" ContentType="application/vnd.openxmlformats-package.relationships+xml"/>
  <Override PartName="/xl/drawings/_rels/drawing3.xml.rels" ContentType="application/vnd.openxmlformats-package.relationships+xml"/>
  <Override PartName="/xl/drawings/_rels/drawing6.xml.rels" ContentType="application/vnd.openxmlformats-package.relationships+xml"/>
  <Override PartName="/xl/drawings/vmlDrawing8.vml" ContentType="application/vnd.openxmlformats-officedocument.vmlDrawing"/>
  <Override PartName="/xl/drawings/vmlDrawing7.vml" ContentType="application/vnd.openxmlformats-officedocument.vmlDrawing"/>
  <Override PartName="/xl/drawings/drawing6.xml" ContentType="application/vnd.openxmlformats-officedocument.drawing+xml"/>
  <Override PartName="/xl/drawings/drawing4.xml" ContentType="application/vnd.openxmlformats-officedocument.drawing+xml"/>
  <Override PartName="/xl/drawings/vmlDrawing5.vml" ContentType="application/vnd.openxmlformats-officedocument.vmlDrawing"/>
  <Override PartName="/xl/drawings/vmlDrawing13.vml" ContentType="application/vnd.openxmlformats-officedocument.vmlDrawing"/>
  <Override PartName="/xl/drawings/vmlDrawing12.vml" ContentType="application/vnd.openxmlformats-officedocument.vmlDrawing"/>
  <Override PartName="/xl/drawings/vmlDrawing11.vml" ContentType="application/vnd.openxmlformats-officedocument.vmlDrawing"/>
  <Override PartName="/xl/drawings/vmlDrawing10.vml" ContentType="application/vnd.openxmlformats-officedocument.vmlDrawing"/>
  <Override PartName="/xl/drawings/vmlDrawing9.vml" ContentType="application/vnd.openxmlformats-officedocument.vmlDrawing"/>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vmlDrawing3.vml" ContentType="application/vnd.openxmlformats-officedocument.vmlDrawing"/>
  <Override PartName="/xl/drawings/drawing2.xml" ContentType="application/vnd.openxmlformats-officedocument.drawing+xml"/>
  <Override PartName="/xl/drawings/vmlDrawing4.vml" ContentType="application/vnd.openxmlformats-officedocument.vmlDrawing"/>
  <Override PartName="/xl/drawings/drawing3.xml" ContentType="application/vnd.openxmlformats-officedocument.drawing+xml"/>
  <Override PartName="/xl/drawings/vmlDrawing6.vml" ContentType="application/vnd.openxmlformats-officedocument.vmlDrawing"/>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omments18.xml" ContentType="application/vnd.openxmlformats-officedocument.spreadsheetml.comments+xml"/>
  <Override PartName="/xl/comments20.xml" ContentType="application/vnd.openxmlformats-officedocument.spreadsheetml.comments+xml"/>
  <Override PartName="/xl/comments19.xml" ContentType="application/vnd.openxmlformats-officedocument.spreadsheetml.comments+xml"/>
  <Override PartName="/xl/comments16.xml" ContentType="application/vnd.openxmlformats-officedocument.spreadsheetml.comments+xml"/>
  <Override PartName="/xl/_rels/workbook.xml.rels" ContentType="application/vnd.openxmlformats-package.relationships+xml"/>
  <Override PartName="/xl/comments6.xml" ContentType="application/vnd.openxmlformats-officedocument.spreadsheetml.comments+xml"/>
  <Override PartName="/xl/comments13.xml" ContentType="application/vnd.openxmlformats-officedocument.spreadsheetml.comments+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3.xml" ContentType="application/vnd.openxmlformats-officedocument.spreadsheetml.worksheet+xml"/>
  <Override PartName="/xl/worksheets/sheet4.xml" ContentType="application/vnd.openxmlformats-officedocument.spreadsheetml.worksheet+xml"/>
  <Override PartName="/xl/worksheets/sheet12.xml" ContentType="application/vnd.openxmlformats-officedocument.spreadsheetml.worksheet+xml"/>
  <Override PartName="/xl/worksheets/sheet3.xml" ContentType="application/vnd.openxmlformats-officedocument.spreadsheetml.worksheet+xml"/>
  <Override PartName="/xl/worksheets/sheet22.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_rels/sheet12.xml.rels" ContentType="application/vnd.openxmlformats-package.relationships+xml"/>
  <Override PartName="/xl/worksheets/_rels/sheet10.xml.rels" ContentType="application/vnd.openxmlformats-package.relationships+xml"/>
  <Override PartName="/xl/worksheets/_rels/sheet1.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7.xml.rels" ContentType="application/vnd.openxmlformats-package.relationships+xml"/>
  <Override PartName="/xl/worksheets/_rels/sheet22.xml.rels" ContentType="application/vnd.openxmlformats-package.relationships+xml"/>
  <Override PartName="/xl/worksheets/_rels/sheet21.xml.rels" ContentType="application/vnd.openxmlformats-package.relationships+xml"/>
  <Override PartName="/xl/worksheets/_rels/sheet19.xml.rels" ContentType="application/vnd.openxmlformats-package.relationships+xml"/>
  <Override PartName="/xl/worksheets/_rels/sheet20.xml.rels" ContentType="application/vnd.openxmlformats-package.relationships+xml"/>
  <Override PartName="/xl/worksheets/_rels/sheet18.xml.rels" ContentType="application/vnd.openxmlformats-package.relationships+xml"/>
  <Override PartName="/xl/worksheets/_rels/sheet16.xml.rels" ContentType="application/vnd.openxmlformats-package.relationships+xml"/>
  <Override PartName="/xl/worksheets/_rels/sheet13.xml.rels" ContentType="application/vnd.openxmlformats-package.relationships+xml"/>
  <Override PartName="/xl/worksheets/_rels/sheet6.xml.rels" ContentType="application/vnd.openxmlformats-package.relationships+xml"/>
  <Override PartName="/xl/worksheets/_rels/sheet14.xml.rels" ContentType="application/vnd.openxmlformats-package.relationships+xml"/>
  <Override PartName="/xl/worksheets/_rels/sheet11.xml.rels" ContentType="application/vnd.openxmlformats-package.relationships+xml"/>
  <Override PartName="/xl/worksheets/sheet21.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comments12.xml" ContentType="application/vnd.openxmlformats-officedocument.spreadsheetml.comments+xml"/>
  <Override PartName="/xl/styles.xml" ContentType="application/vnd.openxmlformats-officedocument.spreadsheetml.styles+xml"/>
  <Override PartName="/xl/comments4.xml" ContentType="application/vnd.openxmlformats-officedocument.spreadsheetml.comments+xml"/>
  <Override PartName="/xl/comments14.xml" ContentType="application/vnd.openxmlformats-officedocument.spreadsheetml.comments+xml"/>
  <Override PartName="/xl/sharedStrings.xml" ContentType="application/vnd.openxmlformats-officedocument.spreadsheetml.sharedStrings+xml"/>
  <Override PartName="/xl/workbook.xml" ContentType="application/vnd.ms-excel.sheet.macroEnabled.main+xml"/>
  <Override PartName="/xl/media/image1.png" ContentType="image/png"/>
  <Override PartName="/xl/media/image2.png" ContentType="image/png"/>
  <Override PartName="/xl/media/image3.png" ContentType="image/png"/>
  <Override PartName="/xl/media/image4.png" ContentType="image/png"/>
  <Override PartName="/xl/media/image5.wmf" ContentType="image/x-wmf"/>
  <Override PartName="/xl/comments5.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Info" sheetId="1" state="visible" r:id="rId2"/>
    <sheet name="Colours" sheetId="2" state="visible" r:id="rId3"/>
    <sheet name="Pendings" sheetId="3" state="visible" r:id="rId4"/>
    <sheet name="Thermal Sources" sheetId="4" state="visible" r:id="rId5"/>
    <sheet name="Ventilation" sheetId="5" state="visible" r:id="rId6"/>
    <sheet name="Glazing" sheetId="6" state="visible" r:id="rId7"/>
    <sheet name="Insulation" sheetId="7" state="visible" r:id="rId8"/>
    <sheet name="PCM" sheetId="8" state="visible" r:id="rId9"/>
    <sheet name="Water Storage" sheetId="9" state="visible" r:id="rId10"/>
    <sheet name="Curve fit" sheetId="10" state="visible" r:id="rId11"/>
    <sheet name="El. Generators" sheetId="11" state="visible" r:id="rId12"/>
    <sheet name="Plants" sheetId="12" state="visible" r:id="rId13"/>
    <sheet name="El. Storage" sheetId="13" state="visible" r:id="rId14"/>
    <sheet name="Various Assets" sheetId="14" state="visible" r:id="rId15"/>
    <sheet name="Transport" sheetId="15" state="visible" r:id="rId16"/>
    <sheet name="Public" sheetId="16" state="visible" r:id="rId17"/>
    <sheet name="Rigid Materials" sheetId="17" state="visible" r:id="rId18"/>
    <sheet name="Fuels" sheetId="18" state="visible" r:id="rId19"/>
    <sheet name="El. Profiles" sheetId="19" state="visible" r:id="rId20"/>
    <sheet name="Window_old" sheetId="20" state="visible" r:id="rId21"/>
    <sheet name="Help" sheetId="21" state="visible" r:id="rId22"/>
    <sheet name="Sheet1" sheetId="22" state="visible" r:id="rId23"/>
  </sheets>
  <calcPr iterateCount="100" refMode="A1" iterate="false" iterateDelta="0.0001"/>
  <extLst>
    <ext xmlns:loext="http://schemas.libreoffice.org/" uri="{7626C862-2A13-11E5-B345-FEFF819CDC9F}">
      <loext:extCalcPr stringRefSyntax="ExcelA1"/>
    </ext>
  </extLst>
</workbook>
</file>

<file path=xl/comments4.xml><?xml version="1.0" encoding="utf-8"?>
<comments xmlns="http://schemas.openxmlformats.org/spreadsheetml/2006/main" xmlns:xdr="http://schemas.openxmlformats.org/drawingml/2006/spreadsheetDrawing">
  <authors>
    <author> </author>
  </authors>
  <commentList>
    <comment ref="B14" authorId="0">
      <text>
        <r>
          <rPr>
            <sz val="11"/>
            <color rgb="FF000000"/>
            <rFont val="Calibri"/>
            <family val="2"/>
            <charset val="1"/>
          </rPr>
          <t xml:space="preserve">tagkoulis:
</t>
        </r>
        <r>
          <rPr>
            <sz val="9"/>
            <color rgb="FF000000"/>
            <rFont val="Tahoma"/>
            <family val="2"/>
            <charset val="1"/>
          </rPr>
          <t xml:space="preserve">functional unit is regarded a residence of 130m2</t>
        </r>
      </text>
    </comment>
    <comment ref="D2" authorId="0">
      <text>
        <r>
          <rPr>
            <sz val="11"/>
            <color rgb="FF000000"/>
            <rFont val="Calibri"/>
            <family val="2"/>
            <charset val="1"/>
          </rPr>
          <t xml:space="preserve">Author:
</t>
        </r>
        <r>
          <rPr>
            <sz val="9"/>
            <color rgb="FF000000"/>
            <rFont val="Tahoma"/>
            <family val="2"/>
            <charset val="1"/>
          </rPr>
          <t xml:space="preserve">By efficiency, is meant the trasnformation efficiency, from input fuel to thermal power.
(Not conversion from primary energy to thermal energy).
That's why heatpumps have efficiency ("cop") of &gt; 1, there are not free energy generators
For electro-thermal devices, efficiency is used to calculate the electric loa needed to produce the thermal load required.
For fossil-thermal devices, efficiency is used to calculate how much more primary fuel is needed than the ideal quantity</t>
        </r>
      </text>
    </comment>
    <comment ref="F14" authorId="0">
      <text>
        <r>
          <rPr>
            <sz val="11"/>
            <color rgb="FF000000"/>
            <rFont val="Calibri"/>
            <family val="2"/>
            <charset val="1"/>
          </rPr>
          <t xml:space="preserve">tagkoulis:
</t>
        </r>
        <r>
          <rPr>
            <sz val="9"/>
            <color rgb="FF000000"/>
            <rFont val="Tahoma"/>
            <family val="2"/>
            <charset val="1"/>
          </rPr>
          <t xml:space="preserve">functional unit is regarded a residence of 130m2</t>
        </r>
      </text>
    </comment>
    <comment ref="G12" authorId="0">
      <text>
        <r>
          <rPr>
            <sz val="11"/>
            <color rgb="FF000000"/>
            <rFont val="Calibri"/>
            <family val="2"/>
            <charset val="1"/>
          </rPr>
          <t xml:space="preserve">tagkoulis:
</t>
        </r>
        <r>
          <rPr>
            <sz val="9"/>
            <color rgb="FF000000"/>
            <rFont val="Tahoma"/>
            <family val="2"/>
            <charset val="1"/>
          </rPr>
          <t xml:space="preserve">https://www.skroutz.gr/c/1406/levites/f/427599/viomazas.html</t>
        </r>
      </text>
    </comment>
    <comment ref="I7" authorId="0">
      <text>
        <r>
          <rPr>
            <sz val="11"/>
            <color rgb="FF000000"/>
            <rFont val="Calibri"/>
            <family val="2"/>
            <charset val="1"/>
          </rPr>
          <t xml:space="preserve">tagkoulis:
</t>
        </r>
        <r>
          <rPr>
            <sz val="9"/>
            <color rgb="FF000000"/>
            <rFont val="Tahoma"/>
            <family val="2"/>
            <charset val="1"/>
          </rPr>
          <t xml:space="preserve">CIRCE data base from david</t>
        </r>
      </text>
    </comment>
  </commentList>
</comments>
</file>

<file path=xl/comments5.xml><?xml version="1.0" encoding="utf-8"?>
<comments xmlns="http://schemas.openxmlformats.org/spreadsheetml/2006/main" xmlns:xdr="http://schemas.openxmlformats.org/drawingml/2006/spreadsheetDrawing">
  <authors>
    <author> </author>
  </authors>
  <commentList>
    <comment ref="A14" authorId="0">
      <text>
        <r>
          <rPr>
            <sz val="11"/>
            <color rgb="FF000000"/>
            <rFont val="Calibri"/>
            <family val="2"/>
            <charset val="1"/>
          </rPr>
          <t xml:space="preserve">Author:
</t>
        </r>
        <r>
          <rPr>
            <sz val="9"/>
            <color rgb="FF000000"/>
            <rFont val="Tahoma"/>
            <family val="2"/>
            <charset val="161"/>
          </rPr>
          <t xml:space="preserve">
Ventilation is not properly implemented in the algorithm.
I assume that the proper way for it to be implemented is, to give
as input, what is the target ach, and then just calculate how much electriclal power the ventilator consumes to reach that target.
But, because the ventilation is a comfort/discomfort asset, not an "obligatory" (such as electricity in general), if you compare one scenario with forced ventilation vs one with natural, the environmental and financial KPIs, will be always better for the scenario with natural vent.
Anyway, it can be easily integrated in the algorithm in the future</t>
        </r>
      </text>
    </comment>
  </commentList>
</comments>
</file>

<file path=xl/comments6.xml><?xml version="1.0" encoding="utf-8"?>
<comments xmlns="http://schemas.openxmlformats.org/spreadsheetml/2006/main" xmlns:xdr="http://schemas.openxmlformats.org/drawingml/2006/spreadsheetDrawing">
  <authors>
    <author> </author>
  </authors>
  <commentList>
    <comment ref="F20" authorId="0">
      <text>
        <r>
          <rPr>
            <sz val="11"/>
            <color rgb="FF000000"/>
            <rFont val="Calibri"/>
            <family val="2"/>
            <charset val="1"/>
          </rPr>
          <t xml:space="preserve">Author:
</t>
        </r>
        <r>
          <rPr>
            <sz val="9"/>
            <color rgb="FF000000"/>
            <rFont val="Tahoma"/>
            <family val="2"/>
            <charset val="161"/>
          </rPr>
          <t xml:space="preserve">
The most correct approach would be to take (internally) frame material, glass layers, glass separating gas, and calculate the thermal proeprties.
But, frame materials are not just materials (except for wood). They are specially formed to have air inside or other gas, they have complex geometry, rubber sealings, etc. So it would be 500% wrong, to take the k of aluminum and assume it is the k of an aluminium-frame.
So, in the block on the left, we define the FRAME's k. We assume for all, a frame coverage of 10% (which if you know better, you can change it), input the glass k, and calculate the final 
window\&amp;frame properties listed above.</t>
        </r>
      </text>
    </comment>
  </commentList>
</comments>
</file>

<file path=xl/comments7.xml><?xml version="1.0" encoding="utf-8"?>
<comments xmlns="http://schemas.openxmlformats.org/spreadsheetml/2006/main" xmlns:xdr="http://schemas.openxmlformats.org/drawingml/2006/spreadsheetDrawing">
  <authors>
    <author> </author>
  </authors>
  <commentList>
    <comment ref="F10" authorId="0">
      <text>
        <r>
          <rPr>
            <sz val="11"/>
            <color rgb="FF000000"/>
            <rFont val="Calibri"/>
            <family val="2"/>
            <charset val="1"/>
          </rPr>
          <t xml:space="preserve">tagkoulis:
</t>
        </r>
        <r>
          <rPr>
            <sz val="9"/>
            <color rgb="FF000000"/>
            <rFont val="Tahoma"/>
            <family val="2"/>
            <charset val="1"/>
          </rPr>
          <t xml:space="preserve">It is assumed that 1 kbox is 0,032 m3. It is an average from KBOX leaflet</t>
        </r>
      </text>
    </comment>
  </commentList>
</comments>
</file>

<file path=xl/comments8.xml><?xml version="1.0" encoding="utf-8"?>
<comments xmlns="http://schemas.openxmlformats.org/spreadsheetml/2006/main" xmlns:xdr="http://schemas.openxmlformats.org/drawingml/2006/spreadsheetDrawing">
  <authors>
    <author> </author>
  </authors>
  <commentList>
    <comment ref="A21" authorId="0">
      <text>
        <r>
          <rPr>
            <sz val="11"/>
            <color rgb="FF000000"/>
            <rFont val="Calibri"/>
            <family val="2"/>
            <charset val="1"/>
          </rPr>
          <t xml:space="preserve">Author:
</t>
        </r>
        <r>
          <rPr>
            <sz val="9"/>
            <color rgb="FF000000"/>
            <rFont val="Tahoma"/>
            <family val="2"/>
            <charset val="161"/>
          </rPr>
          <t xml:space="preserve">
I am not really into the topic of thermal storage.
The current solver, from an energy-perspective, does the same either with or without thermal storage.
I understand, that if the heating source (for the heat to be genrated and then stored) is electrical, then since price is variable, it makes sense to store cheap and consume when expensive. But I really doubt that the heat source is electric-powered.
So, in cases of gas-powered heat, I assume the only benefit is to open the boiler only once a day, store energy, and not have to re-ingite it, (which drops efficiency). Or, if your total thermal power is not enough for your peak demand, 
then produce more at off-peak hours, to chip-in during peak demand hours, and reduce your discomfort.
Anyway, none of that is iplemented. Heat storage for the algorithm is just a money sink with no apparent benefit.
</t>
        </r>
        <r>
          <rPr>
            <b val="true"/>
            <sz val="9"/>
            <color rgb="FF000000"/>
            <rFont val="Tahoma"/>
            <family val="2"/>
            <charset val="161"/>
          </rPr>
          <t xml:space="preserve">But</t>
        </r>
        <r>
          <rPr>
            <sz val="9"/>
            <color rgb="FF000000"/>
            <rFont val="Tahoma"/>
            <family val="2"/>
            <charset val="161"/>
          </rPr>
          <t xml:space="preserve"> the issue I want to address here is this:
Water Storage (hot) and latent heat storage shouls belong toi the same equipment category (ideally). But I think PCMa are sized based on kWh nominal capacity, while hot water storages (tanks) are volumetricly sized (m3).
So, we have a different u.g.s. One approach: Fix the max temprature of tha water to 70oC, so convert tank volume to thermal capacity.
Another: Convert kWh of PCM jeat to volume (I don't think though that this is very feasible, cause various PCMs have different energy density)</t>
        </r>
      </text>
    </comment>
  </commentList>
</comments>
</file>

<file path=xl/comments11.xml><?xml version="1.0" encoding="utf-8"?>
<comments xmlns="http://schemas.openxmlformats.org/spreadsheetml/2006/main" xmlns:xdr="http://schemas.openxmlformats.org/drawingml/2006/spreadsheetDrawing">
  <authors>
    <author> </author>
  </authors>
  <commentList>
    <comment ref="A28" authorId="0">
      <text>
        <r>
          <rPr>
            <sz val="11"/>
            <color rgb="FF000000"/>
            <rFont val="Calibri"/>
            <family val="2"/>
            <charset val="1"/>
          </rPr>
          <t xml:space="preserve">Author:
</t>
        </r>
        <r>
          <rPr>
            <sz val="9"/>
            <color rgb="FF000000"/>
            <rFont val="Tahoma"/>
            <family val="2"/>
            <charset val="161"/>
          </rPr>
          <t xml:space="preserve">
</t>
        </r>
        <r>
          <rPr>
            <u val="single"/>
            <sz val="9"/>
            <color rgb="FF000000"/>
            <rFont val="Tahoma"/>
            <family val="2"/>
            <charset val="161"/>
          </rPr>
          <t xml:space="preserve">Comment1
</t>
        </r>
        <r>
          <rPr>
            <sz val="9"/>
            <color rgb="FF000000"/>
            <rFont val="Tahoma"/>
            <family val="2"/>
            <charset val="161"/>
          </rPr>
          <t xml:space="preserve">For RES, efficiency = 100%. This doesn't mean that they convert 100% of wind/sun to electrical energy. (This is given as input, depending on PV, WindTurbine).
It is a convention, because the sun and the wind, even if you waste 80% of them in a conversion, you dont' destroy them. They are renewable.
</t>
        </r>
        <r>
          <rPr>
            <u val="single"/>
            <sz val="9"/>
            <color rgb="FF000000"/>
            <rFont val="Tahoma"/>
            <family val="2"/>
            <charset val="161"/>
          </rPr>
          <t xml:space="preserve">Comment2
</t>
        </r>
        <r>
          <rPr>
            <sz val="9"/>
            <color rgb="FF000000"/>
            <rFont val="Tahoma"/>
            <family val="2"/>
            <charset val="161"/>
          </rPr>
          <t xml:space="preserve">The subtype here, is unable to capture further subdivisions (e.g. crystallic type of PV), because it refers to the installation, not the pv-module itself. This, for pv only, is done internally with some dummy multipliers depending on the species.
</t>
        </r>
        <r>
          <rPr>
            <u val="single"/>
            <sz val="9"/>
            <color rgb="FF000000"/>
            <rFont val="Tahoma"/>
            <family val="2"/>
            <charset val="161"/>
          </rPr>
          <t xml:space="preserve">Comment3
</t>
        </r>
        <r>
          <rPr>
            <sz val="9"/>
            <color rgb="FF000000"/>
            <rFont val="Tahoma"/>
            <family val="2"/>
            <charset val="161"/>
          </rPr>
          <t xml:space="preserve">If you put replace_or_die = 'replace', and the project's lifespan is greater than the component's lifetime, e.g. project = 25, pv = 20. Then the project is fubared financially. So, careful with that.
</t>
        </r>
        <r>
          <rPr>
            <u val="single"/>
            <sz val="9"/>
            <color rgb="FF000000"/>
            <rFont val="Tahoma"/>
            <family val="2"/>
            <charset val="161"/>
          </rPr>
          <t xml:space="preserve">Comment4
</t>
        </r>
        <r>
          <rPr>
            <sz val="9"/>
            <color rgb="FF000000"/>
            <rFont val="Tahoma"/>
            <family val="2"/>
            <charset val="161"/>
          </rPr>
          <t xml:space="preserve">Emission factor refers to electricity generation. NOT embodied. (as should be suspected, since it is expressed as CO2 / kWh not kW)
</t>
        </r>
        <r>
          <rPr>
            <u val="single"/>
            <sz val="9"/>
            <color rgb="FF000000"/>
            <rFont val="Tahoma"/>
            <family val="2"/>
            <charset val="161"/>
          </rPr>
          <t xml:space="preserve">Comment5
</t>
        </r>
        <r>
          <rPr>
            <sz val="9"/>
            <color rgb="FF000000"/>
            <rFont val="Tahoma"/>
            <family val="2"/>
            <charset val="161"/>
          </rPr>
          <t xml:space="preserve">For stand alone applications, the electricity source is *always a genset. Ususally a diesel powered one. So, what you do is: In the sub-type of GenSet, you enter whatever it is (Diesel, ngas, biomass, etc.). Then the excel sheet searches in the "Fuels" tab for that particular fuel, and based on the efficiency that you give, calculates the new emission factor. 
(I don't remember why I did it in excel and not internally, but anyway, that's how it works)
</t>
        </r>
        <r>
          <rPr>
            <u val="single"/>
            <sz val="9"/>
            <color rgb="FF000000"/>
            <rFont val="Tahoma"/>
            <family val="2"/>
            <charset val="161"/>
          </rPr>
          <t xml:space="preserve">Comment6
</t>
        </r>
        <r>
          <rPr>
            <sz val="9"/>
            <color rgb="FF000000"/>
            <rFont val="Tahoma"/>
            <family val="2"/>
            <charset val="161"/>
          </rPr>
          <t xml:space="preserve">Leave the row "Grid" as is. It is calculated internally.Although I think, that if you want to put a specific emission factor, you can. But I;m not sure.
</t>
        </r>
        <r>
          <rPr>
            <u val="single"/>
            <sz val="9"/>
            <color rgb="FF000000"/>
            <rFont val="Tahoma"/>
            <family val="2"/>
            <charset val="161"/>
          </rPr>
          <t xml:space="preserve">Comment7:
</t>
        </r>
        <r>
          <rPr>
            <sz val="9"/>
            <color rgb="FF000000"/>
            <rFont val="Tahoma"/>
            <family val="2"/>
            <charset val="161"/>
          </rPr>
          <t xml:space="preserve">Especially for PVs I have done a lot of literature research for costs and footprint. But the footprints I got are smaller than the SimaPro output. This is because simapro uses dat from 2005. In my review, it is clearly visible that depending on the year of manufacturing the footprint changes significantly. (In an initial algorithm, I was using 'year_made' parameter asd input to a fitted curve which yielded the footprint.)</t>
        </r>
      </text>
    </comment>
    <comment ref="B23" authorId="0">
      <text>
        <r>
          <rPr>
            <sz val="11"/>
            <color rgb="FF000000"/>
            <rFont val="Calibri"/>
            <family val="2"/>
            <charset val="1"/>
          </rPr>
          <t xml:space="preserve">Author:
</t>
        </r>
        <r>
          <rPr>
            <sz val="9"/>
            <color rgb="FF000000"/>
            <rFont val="Tahoma"/>
            <family val="2"/>
            <charset val="1"/>
          </rPr>
          <t xml:space="preserve">Leave this row as is</t>
        </r>
      </text>
    </comment>
    <comment ref="C22" authorId="0">
      <text>
        <r>
          <rPr>
            <sz val="11"/>
            <color rgb="FF000000"/>
            <rFont val="Calibri"/>
            <family val="2"/>
            <charset val="1"/>
          </rPr>
          <t xml:space="preserve">Author:
</t>
        </r>
        <r>
          <rPr>
            <sz val="9"/>
            <color rgb="FF000000"/>
            <rFont val="Tahoma"/>
            <family val="2"/>
            <charset val="1"/>
          </rPr>
          <t xml:space="preserve">you can change the standard type of fuel for GenSet.
Depending on the properties in tab "Fuels", the new emission factor will be automatically calculated</t>
        </r>
      </text>
    </comment>
    <comment ref="C23" authorId="0">
      <text>
        <r>
          <rPr>
            <sz val="11"/>
            <color rgb="FF000000"/>
            <rFont val="Calibri"/>
            <family val="2"/>
            <charset val="1"/>
          </rPr>
          <t xml:space="preserve">Author:
</t>
        </r>
        <r>
          <rPr>
            <sz val="9"/>
            <color rgb="FF000000"/>
            <rFont val="Tahoma"/>
            <family val="2"/>
            <charset val="1"/>
          </rPr>
          <t xml:space="preserve">Leave this row as is</t>
        </r>
      </text>
    </comment>
    <comment ref="G6" authorId="0">
      <text>
        <r>
          <rPr>
            <sz val="11"/>
            <color rgb="FF000000"/>
            <rFont val="Calibri"/>
            <family val="2"/>
            <charset val="1"/>
          </rPr>
          <t xml:space="preserve">tagkoulis:
</t>
        </r>
        <r>
          <rPr>
            <sz val="9"/>
            <color rgb="FF000000"/>
            <rFont val="Tahoma"/>
            <family val="2"/>
            <charset val="1"/>
          </rPr>
          <t xml:space="preserve">I have put Kompronent zapa 80% pV. 1kW = 10 m2</t>
        </r>
      </text>
    </comment>
    <comment ref="I12" authorId="0">
      <text>
        <r>
          <rPr>
            <sz val="11"/>
            <color rgb="FF000000"/>
            <rFont val="Calibri"/>
            <family val="2"/>
            <charset val="1"/>
          </rPr>
          <t xml:space="preserve">tagkoulis:
</t>
        </r>
        <r>
          <rPr>
            <sz val="9"/>
            <color rgb="FF000000"/>
            <rFont val="Tahoma"/>
            <family val="2"/>
            <charset val="1"/>
          </rPr>
          <t xml:space="preserve">It is assumed that the PV has a spatial density of 0,133kW/m2.</t>
        </r>
      </text>
    </comment>
  </commentList>
</comments>
</file>

<file path=xl/comments12.xml><?xml version="1.0" encoding="utf-8"?>
<comments xmlns="http://schemas.openxmlformats.org/spreadsheetml/2006/main" xmlns:xdr="http://schemas.openxmlformats.org/drawingml/2006/spreadsheetDrawing">
  <authors>
    <author> </author>
  </authors>
  <commentList>
    <comment ref="A27" authorId="0">
      <text>
        <r>
          <rPr>
            <sz val="11"/>
            <color rgb="FF000000"/>
            <rFont val="Calibri"/>
            <family val="2"/>
            <charset val="1"/>
          </rPr>
          <t xml:space="preserve">Author:
</t>
        </r>
        <r>
          <rPr>
            <sz val="9"/>
            <color rgb="FF000000"/>
            <rFont val="Tahoma"/>
            <family val="2"/>
            <charset val="161"/>
          </rPr>
          <t xml:space="preserve">
</t>
        </r>
        <r>
          <rPr>
            <u val="single"/>
            <sz val="9"/>
            <color rgb="FF000000"/>
            <rFont val="Tahoma"/>
            <family val="2"/>
            <charset val="161"/>
          </rPr>
          <t xml:space="preserve">Comment1
</t>
        </r>
        <r>
          <rPr>
            <sz val="9"/>
            <color rgb="FF000000"/>
            <rFont val="Tahoma"/>
            <family val="2"/>
            <charset val="161"/>
          </rPr>
          <t xml:space="preserve">For RES, efficiency = 100%. This doesn't mean that they convert 100% of wind/sun to electrical energy. (This is given as input, depending on PV, WindTurbine).
It is a convention, because the sun and the wind, even if you waste 80% of them in a conversion, you dont' destroy them. They are renewable.
</t>
        </r>
        <r>
          <rPr>
            <u val="single"/>
            <sz val="9"/>
            <color rgb="FF000000"/>
            <rFont val="Tahoma"/>
            <family val="2"/>
            <charset val="161"/>
          </rPr>
          <t xml:space="preserve">Comment2
</t>
        </r>
        <r>
          <rPr>
            <sz val="9"/>
            <color rgb="FF000000"/>
            <rFont val="Tahoma"/>
            <family val="2"/>
            <charset val="161"/>
          </rPr>
          <t xml:space="preserve">The subtype here, is unable to capture further subdivisions (e.g. crystallic type of PV), because it refers to the installation, not the pv-module itself. This, for pv only, is done internally with some dummy multipliers depending on the species.
</t>
        </r>
        <r>
          <rPr>
            <u val="single"/>
            <sz val="9"/>
            <color rgb="FF000000"/>
            <rFont val="Tahoma"/>
            <family val="2"/>
            <charset val="161"/>
          </rPr>
          <t xml:space="preserve">Comment3
</t>
        </r>
        <r>
          <rPr>
            <sz val="9"/>
            <color rgb="FF000000"/>
            <rFont val="Tahoma"/>
            <family val="2"/>
            <charset val="161"/>
          </rPr>
          <t xml:space="preserve">If you put replace_or_die = 'replace', and the project's lifespan is greater than the component's lifetime, e.g. project = 25, pv = 20. Then the project is fubared financially. So, careful with that.
</t>
        </r>
        <r>
          <rPr>
            <u val="single"/>
            <sz val="9"/>
            <color rgb="FF000000"/>
            <rFont val="Tahoma"/>
            <family val="2"/>
            <charset val="161"/>
          </rPr>
          <t xml:space="preserve">Comment4
</t>
        </r>
        <r>
          <rPr>
            <sz val="9"/>
            <color rgb="FF000000"/>
            <rFont val="Tahoma"/>
            <family val="2"/>
            <charset val="161"/>
          </rPr>
          <t xml:space="preserve">Emission factor refers to electricity generation. NOT embodied. (as should be suspected, since it is expressed as CO2 / kWh not kW)
</t>
        </r>
        <r>
          <rPr>
            <u val="single"/>
            <sz val="9"/>
            <color rgb="FF000000"/>
            <rFont val="Tahoma"/>
            <family val="2"/>
            <charset val="161"/>
          </rPr>
          <t xml:space="preserve">Comment5
</t>
        </r>
        <r>
          <rPr>
            <sz val="9"/>
            <color rgb="FF000000"/>
            <rFont val="Tahoma"/>
            <family val="2"/>
            <charset val="161"/>
          </rPr>
          <t xml:space="preserve">For stand alone applications, the electricity source is *always a genset. Ususally a diesel powered one. So, what you do is: In the sub-type of GenSet, you enter whatever it is (Diesel, ngas, biomass, etc.). Then the excel sheet searches in the "Fuels" tab for that particular fuel, and based on the efficiency that you give, calculates the new emission factor. 
(I don't remember why I did it in excel and not internally, but anyway, that's how it works)
</t>
        </r>
        <r>
          <rPr>
            <u val="single"/>
            <sz val="9"/>
            <color rgb="FF000000"/>
            <rFont val="Tahoma"/>
            <family val="2"/>
            <charset val="161"/>
          </rPr>
          <t xml:space="preserve">Comment6
</t>
        </r>
        <r>
          <rPr>
            <sz val="9"/>
            <color rgb="FF000000"/>
            <rFont val="Tahoma"/>
            <family val="2"/>
            <charset val="161"/>
          </rPr>
          <t xml:space="preserve">Leave the row "Grid" as is. It is calculated internally.Although I think, that if you want to put a specific emission factor, you can. But I;m not sure.
</t>
        </r>
        <r>
          <rPr>
            <u val="single"/>
            <sz val="9"/>
            <color rgb="FF000000"/>
            <rFont val="Tahoma"/>
            <family val="2"/>
            <charset val="161"/>
          </rPr>
          <t xml:space="preserve">Comment7:
</t>
        </r>
        <r>
          <rPr>
            <sz val="9"/>
            <color rgb="FF000000"/>
            <rFont val="Tahoma"/>
            <family val="2"/>
            <charset val="161"/>
          </rPr>
          <t xml:space="preserve">Especially for PVs I have done a lot of literature research for costs and footprint. But the footprints I got are smaller than the SimaPro output. This is because simapro uses dat from 2005. In my review, it is clearly visible that depending on the year of manufacturing the footprint changes significantly. (In an initial algorithm, I was using 'year_made' parameter asd input to a fitted curve which yielded the footprint.)</t>
        </r>
      </text>
    </comment>
    <comment ref="C5" authorId="0">
      <text>
        <r>
          <rPr>
            <sz val="11"/>
            <color rgb="FF000000"/>
            <rFont val="Calibri"/>
            <family val="2"/>
            <charset val="1"/>
          </rPr>
          <t xml:space="preserve">Author:
</t>
        </r>
        <r>
          <rPr>
            <sz val="9"/>
            <color rgb="FF000000"/>
            <rFont val="Tahoma"/>
            <family val="2"/>
            <charset val="1"/>
          </rPr>
          <t xml:space="preserve">This can be used as an inteconnection equivalent </t>
        </r>
      </text>
    </comment>
    <comment ref="E9" authorId="0">
      <text>
        <r>
          <rPr>
            <sz val="11"/>
            <color rgb="FF000000"/>
            <rFont val="Calibri"/>
            <family val="2"/>
            <charset val="1"/>
          </rPr>
          <t xml:space="preserve">Author:
</t>
        </r>
        <r>
          <rPr>
            <sz val="9"/>
            <color rgb="FF000000"/>
            <rFont val="Tahoma"/>
            <family val="2"/>
            <charset val="1"/>
          </rPr>
          <t xml:space="preserve">Nikos N comment</t>
        </r>
      </text>
    </comment>
    <comment ref="F4" authorId="0">
      <text>
        <r>
          <rPr>
            <sz val="11"/>
            <color rgb="FF000000"/>
            <rFont val="Calibri"/>
            <family val="2"/>
            <charset val="1"/>
          </rPr>
          <t xml:space="preserve">Author:
</t>
        </r>
        <r>
          <rPr>
            <sz val="9"/>
            <color rgb="FF000000"/>
            <rFont val="Tahoma"/>
            <family val="2"/>
            <charset val="1"/>
          </rPr>
          <t xml:space="preserve">https://www.eia.gov/tools/faqs/faq.php?id=74&amp;t=11</t>
        </r>
      </text>
    </comment>
    <comment ref="F9" authorId="0">
      <text>
        <r>
          <rPr>
            <sz val="11"/>
            <color rgb="FF000000"/>
            <rFont val="Calibri"/>
            <family val="2"/>
            <charset val="1"/>
          </rPr>
          <t xml:space="preserve">Author:
</t>
        </r>
        <r>
          <rPr>
            <sz val="9"/>
            <color rgb="FF000000"/>
            <rFont val="Tahoma"/>
            <family val="2"/>
            <charset val="1"/>
          </rPr>
          <t xml:space="preserve">Nikos N comment</t>
        </r>
      </text>
    </comment>
    <comment ref="G3" authorId="0">
      <text>
        <r>
          <rPr>
            <sz val="11"/>
            <color rgb="FF000000"/>
            <rFont val="Calibri"/>
            <family val="2"/>
            <charset val="1"/>
          </rPr>
          <t xml:space="preserve">Author:
</t>
        </r>
        <r>
          <rPr>
            <sz val="9"/>
            <color rgb="FF000000"/>
            <rFont val="Tahoma"/>
            <family val="2"/>
            <charset val="1"/>
          </rPr>
          <t xml:space="preserve">Google search
https://proest.com/construction/cost-estimates/power-plants/</t>
        </r>
      </text>
    </comment>
    <comment ref="G4" authorId="0">
      <text>
        <r>
          <rPr>
            <sz val="11"/>
            <color rgb="FF000000"/>
            <rFont val="Calibri"/>
            <family val="2"/>
            <charset val="1"/>
          </rPr>
          <t xml:space="preserve">Author:
</t>
        </r>
        <r>
          <rPr>
            <sz val="9"/>
            <color rgb="FF000000"/>
            <rFont val="Tahoma"/>
            <family val="2"/>
            <charset val="1"/>
          </rPr>
          <t xml:space="preserve">Google search
https://www.e-education.psu.edu/eme801/node/530</t>
        </r>
      </text>
    </comment>
    <comment ref="G7" authorId="0">
      <text>
        <r>
          <rPr>
            <sz val="11"/>
            <color rgb="FF000000"/>
            <rFont val="Calibri"/>
            <family val="2"/>
            <charset val="1"/>
          </rPr>
          <t xml:space="preserve">Author:
</t>
        </r>
        <r>
          <rPr>
            <sz val="9"/>
            <color rgb="FF000000"/>
            <rFont val="Tahoma"/>
            <family val="2"/>
            <charset val="1"/>
          </rPr>
          <t xml:space="preserve">https://www.e-education.psu.edu/eme801/node/530</t>
        </r>
      </text>
    </comment>
    <comment ref="G20" authorId="0">
      <text>
        <r>
          <rPr>
            <sz val="11"/>
            <color rgb="FF000000"/>
            <rFont val="Calibri"/>
            <family val="2"/>
            <charset val="1"/>
          </rPr>
          <t xml:space="preserve">Author:
</t>
        </r>
        <r>
          <rPr>
            <sz val="9"/>
            <color rgb="FF000000"/>
            <rFont val="Tahoma"/>
            <family val="2"/>
            <charset val="1"/>
          </rPr>
          <t xml:space="preserve">Googe search
</t>
        </r>
      </text>
    </comment>
    <comment ref="G21" authorId="0">
      <text>
        <r>
          <rPr>
            <sz val="11"/>
            <color rgb="FF000000"/>
            <rFont val="Calibri"/>
            <family val="2"/>
            <charset val="1"/>
          </rPr>
          <t xml:space="preserve">Author:
</t>
        </r>
        <r>
          <rPr>
            <sz val="9"/>
            <color rgb="FF000000"/>
            <rFont val="Tahoma"/>
            <family val="2"/>
            <charset val="1"/>
          </rPr>
          <t xml:space="preserve">Googe search
</t>
        </r>
      </text>
    </comment>
    <comment ref="I13" authorId="0">
      <text>
        <r>
          <rPr>
            <sz val="11"/>
            <color rgb="FF000000"/>
            <rFont val="Calibri"/>
            <family val="2"/>
            <charset val="1"/>
          </rPr>
          <t xml:space="preserve">Author:
</t>
        </r>
        <r>
          <rPr>
            <sz val="9"/>
            <color rgb="FF000000"/>
            <rFont val="Tahoma"/>
            <family val="2"/>
            <charset val="1"/>
          </rPr>
          <t xml:space="preserve">Έβαλα την τιμή του Κακανή αλλά δεν ξέρω αν αναφέρεται σε PEMFC</t>
        </r>
      </text>
    </comment>
    <comment ref="I17" authorId="0">
      <text>
        <r>
          <rPr>
            <sz val="11"/>
            <color rgb="FF000000"/>
            <rFont val="Calibri"/>
            <family val="2"/>
            <charset val="1"/>
          </rPr>
          <t xml:space="preserve">Author:
</t>
        </r>
        <r>
          <rPr>
            <sz val="9"/>
            <color rgb="FF000000"/>
            <rFont val="Tahoma"/>
            <family val="2"/>
            <charset val="1"/>
          </rPr>
          <t xml:space="preserve">Έβαλα την τιμή του PEMC προσαυξημενη όσο και τα αντιστοιχα CAPEX
</t>
        </r>
      </text>
    </comment>
  </commentList>
</comments>
</file>

<file path=xl/comments13.xml><?xml version="1.0" encoding="utf-8"?>
<comments xmlns="http://schemas.openxmlformats.org/spreadsheetml/2006/main" xmlns:xdr="http://schemas.openxmlformats.org/drawingml/2006/spreadsheetDrawing">
  <authors>
    <author> </author>
  </authors>
  <commentList>
    <comment ref="A27" authorId="0">
      <text>
        <r>
          <rPr>
            <sz val="11"/>
            <color rgb="FF000000"/>
            <rFont val="Calibri"/>
            <family val="2"/>
            <charset val="1"/>
          </rPr>
          <t xml:space="preserve">Author:
</t>
        </r>
        <r>
          <rPr>
            <sz val="9"/>
            <color rgb="FF000000"/>
            <rFont val="Tahoma"/>
            <family val="2"/>
            <charset val="161"/>
          </rPr>
          <t xml:space="preserve">
*documented values, are not concentrated in a single excel. 
</t>
        </r>
        <r>
          <rPr>
            <u val="single"/>
            <sz val="9"/>
            <color rgb="FF000000"/>
            <rFont val="Tahoma"/>
            <family val="2"/>
            <charset val="161"/>
          </rPr>
          <t xml:space="preserve">Comment1
</t>
        </r>
        <r>
          <rPr>
            <sz val="9"/>
            <color rgb="FF000000"/>
            <rFont val="Tahoma"/>
            <family val="2"/>
            <charset val="161"/>
          </rPr>
          <t xml:space="preserve">Caution: Many papers refer to battery-related quantities as quantity / kWh_capacity, and many as quantity / MWh_discharged. Here, the convention is kWH_capacity.
Comment2:
We say battery, but battery comes along with inverter, cabling, casing, ventilation system (some cases) and more. All these must be included. That' s why the tab is called Storage, it referes to the whole Storage System.
</t>
        </r>
        <r>
          <rPr>
            <u val="single"/>
            <sz val="9"/>
            <color rgb="FF000000"/>
            <rFont val="Tahoma"/>
            <family val="2"/>
            <charset val="161"/>
          </rPr>
          <t xml:space="preserve">Comment3
</t>
        </r>
        <r>
          <rPr>
            <sz val="9"/>
            <color rgb="FF000000"/>
            <rFont val="Tahoma"/>
            <family val="2"/>
            <charset val="161"/>
          </rPr>
          <t xml:space="preserve">Lifetime and annual degradation are not fixed. They depend on the use (maxDoD, actual daily DoD, Crate, etc.), and also on SoH_replace (which is user input). So, these columns are here just for compatibility with all other tabs.
The issue is though, that this specific solver, does not solve each and every year. It solves just one. So, how to transfer to the next year that the available capacity has been decreased due to degradation?
--&gt; I have made in the past full-life-cycle solvers, which inherit each year from the last, and deal with this issue. They take longer to run (for 25 years, about 30-50sec), which is totally fine for local use, but a bit long for an online platform. Also, if many users run simultaenously (never gonna happen probably), then the computational cost can be significant (although in some versions I introduced some parallel computing, nevertheless, if 4 users run simultaenously, then all cores are on full-load).
Anyway,from these runs, I extracted the conclusion, that for a peak-shaving application (where peak pv generation exceeds the load), each year, you have to import 4% more energy, and sell (or lose) 4% more energy.
</t>
        </r>
        <r>
          <rPr>
            <u val="single"/>
            <sz val="9"/>
            <color rgb="FF000000"/>
            <rFont val="Tahoma"/>
            <family val="2"/>
            <charset val="161"/>
          </rPr>
          <t xml:space="preserve">Comment4:
</t>
        </r>
        <r>
          <rPr>
            <sz val="9"/>
            <color rgb="FF000000"/>
            <rFont val="Tahoma"/>
            <family val="2"/>
            <charset val="161"/>
          </rPr>
          <t xml:space="preserve">Each battery technology (type and subtype) have different performance, characteristics. For now, I have only implemented Li-Ion and Lead-Acid. Vanadium flow, I have just copied identical from Li-Ion. So needs addressing.
</t>
        </r>
        <r>
          <rPr>
            <u val="single"/>
            <sz val="9"/>
            <color rgb="FF000000"/>
            <rFont val="Tahoma"/>
            <family val="2"/>
            <charset val="161"/>
          </rPr>
          <t xml:space="preserve">Comment5:
</t>
        </r>
        <r>
          <rPr>
            <sz val="9"/>
            <color rgb="FF000000"/>
            <rFont val="Tahoma"/>
            <family val="2"/>
            <charset val="161"/>
          </rPr>
          <t xml:space="preserve">Peukert: I know how to use the equation when evaluating a full-discharge, or a full-charge. (starting from lowest or highest capacity towards highest /lowest respectively).
I haven't figured out how this equation is applied for intermediate charges/discharges.
e.g. battery of 100kWh and 0.5C nominal, has 50kWh, and I attempt to discharge it with 2C for 1 hour. What happend? Not sure</t>
        </r>
      </text>
    </comment>
  </commentList>
</comments>
</file>

<file path=xl/comments14.xml><?xml version="1.0" encoding="utf-8"?>
<comments xmlns="http://schemas.openxmlformats.org/spreadsheetml/2006/main" xmlns:xdr="http://schemas.openxmlformats.org/drawingml/2006/spreadsheetDrawing">
  <authors>
    <author> </author>
  </authors>
  <commentList>
    <comment ref="A3" authorId="0">
      <text>
        <r>
          <rPr>
            <sz val="11"/>
            <color rgb="FF000000"/>
            <rFont val="Calibri"/>
            <family val="2"/>
            <charset val="1"/>
          </rPr>
          <t xml:space="preserve">Author:
</t>
        </r>
        <r>
          <rPr>
            <sz val="9"/>
            <color rgb="FF000000"/>
            <rFont val="Tahoma"/>
            <family val="2"/>
            <charset val="1"/>
          </rPr>
          <t xml:space="preserve">Here the u.g.s. varies, depending on the type (component). I suggest that we create a table below to show the u.g.s. of each type.</t>
        </r>
      </text>
    </comment>
    <comment ref="F4" authorId="0">
      <text>
        <r>
          <rPr>
            <sz val="11"/>
            <color rgb="FF000000"/>
            <rFont val="Calibri"/>
            <family val="2"/>
            <charset val="1"/>
          </rPr>
          <t xml:space="preserve">tagkoulis:
</t>
        </r>
        <r>
          <rPr>
            <sz val="9"/>
            <color rgb="FF000000"/>
            <rFont val="Tahoma"/>
            <family val="2"/>
            <charset val="1"/>
          </rPr>
          <t xml:space="preserve">In both environmental and economic data we assume that a panel has 2,5 m2 surface</t>
        </r>
      </text>
    </comment>
    <comment ref="L4" authorId="0">
      <text>
        <r>
          <rPr>
            <sz val="11"/>
            <color rgb="FF000000"/>
            <rFont val="Calibri"/>
            <family val="2"/>
            <charset val="1"/>
          </rPr>
          <t xml:space="preserve">tagkoulis:
</t>
        </r>
        <r>
          <rPr>
            <sz val="9"/>
            <color rgb="FF000000"/>
            <rFont val="Tahoma"/>
            <family val="2"/>
            <charset val="1"/>
          </rPr>
          <t xml:space="preserve">https://doi.org/10.1016/j.renene.2004.09.009</t>
        </r>
      </text>
    </comment>
  </commentList>
</comments>
</file>

<file path=xl/comments16.xml><?xml version="1.0" encoding="utf-8"?>
<comments xmlns="http://schemas.openxmlformats.org/spreadsheetml/2006/main" xmlns:xdr="http://schemas.openxmlformats.org/drawingml/2006/spreadsheetDrawing">
  <authors>
    <author> </author>
  </authors>
  <commentList>
    <comment ref="A3" authorId="0">
      <text>
        <r>
          <rPr>
            <sz val="11"/>
            <color rgb="FF000000"/>
            <rFont val="Calibri"/>
            <family val="2"/>
            <charset val="1"/>
          </rPr>
          <t xml:space="preserve">Author:
</t>
        </r>
        <r>
          <rPr>
            <sz val="9"/>
            <color rgb="FF000000"/>
            <rFont val="Tahoma"/>
            <family val="2"/>
            <charset val="1"/>
          </rPr>
          <t xml:space="preserve">Here the u.g.s. varies, depending on the type (component). I suggest that we create a table below to show the u.g.s. of each type.</t>
        </r>
      </text>
    </comment>
    <comment ref="E3" authorId="0">
      <text>
        <r>
          <rPr>
            <sz val="11"/>
            <color rgb="FF000000"/>
            <rFont val="Calibri"/>
            <family val="2"/>
            <charset val="1"/>
          </rPr>
          <t xml:space="preserve">Author:
</t>
        </r>
        <r>
          <rPr>
            <sz val="9"/>
            <color rgb="FF000000"/>
            <rFont val="Tahoma"/>
            <family val="2"/>
            <charset val="1"/>
          </rPr>
          <t xml:space="preserve">https://www.kafkas.gr/ilektrokinisi-/stathmoi-fortisis-il.ochimaton/trifasikoi-fortistes-ac-mode-3-/siemens-stathmos-fortisis-ev-epitoichos-3faseon-22w-t2-rfid-4g_292104/?=14&amp;gclid=Cj0KCQiAvqGcBhCJARIsAFQ5ke5D94iJ30wGwB4W-VR5uBnEhI5safpeb4np-Qkf8oRgrXmZjtOP69oaAqOzEALw_wcB</t>
        </r>
      </text>
    </comment>
    <comment ref="E4" authorId="0">
      <text>
        <r>
          <rPr>
            <sz val="11"/>
            <color rgb="FF000000"/>
            <rFont val="Calibri"/>
            <family val="2"/>
            <charset val="1"/>
          </rPr>
          <t xml:space="preserve">Nikolas Tagkoulis
</t>
        </r>
        <r>
          <rPr>
            <sz val="9"/>
            <color rgb="FF000000"/>
            <rFont val="Tahoma"/>
            <family val="2"/>
            <charset val="1"/>
          </rPr>
          <t xml:space="preserve">Data from efacec</t>
        </r>
      </text>
    </comment>
  </commentList>
</comments>
</file>

<file path=xl/comments18.xml><?xml version="1.0" encoding="utf-8"?>
<comments xmlns="http://schemas.openxmlformats.org/spreadsheetml/2006/main" xmlns:xdr="http://schemas.openxmlformats.org/drawingml/2006/spreadsheetDrawing">
  <authors>
    <author> </author>
  </authors>
  <commentList>
    <comment ref="A19" authorId="0">
      <text>
        <r>
          <rPr>
            <sz val="11"/>
            <color rgb="FF000000"/>
            <rFont val="Calibri"/>
            <family val="2"/>
            <charset val="1"/>
          </rPr>
          <t xml:space="preserve">Author:
</t>
        </r>
        <r>
          <rPr>
            <sz val="9"/>
            <color rgb="FF000000"/>
            <rFont val="Tahoma"/>
            <family val="2"/>
            <charset val="161"/>
          </rPr>
          <t xml:space="preserve">
The Helper tab contains useful conversions and transformations for fuels.
</t>
        </r>
        <r>
          <rPr>
            <b val="true"/>
            <sz val="9"/>
            <color rgb="FF000000"/>
            <rFont val="Tahoma"/>
            <family val="2"/>
            <charset val="161"/>
          </rPr>
          <t xml:space="preserve">Comment1
</t>
        </r>
        <r>
          <rPr>
            <sz val="9"/>
            <color rgb="FF000000"/>
            <rFont val="Tahoma"/>
            <family val="2"/>
            <charset val="161"/>
          </rPr>
          <t xml:space="preserve">kg CO2_per_kWh, is not the emission factor for electricity generation. It is the fuel co2_equivalent content, if it gets burnt.
** the fuel is not an electricity generator. The generator is an electricity generator, using the fuel
Now, I calculate it from kgCo2 / kg fuel but feel free to change that, if you search and find documented values.
Caution with LPG, if the values refer to the liquefied or the gaseous form.
Comment2
In this publication, I followed calculation approach 2. 
ENER/C3/2013-484/02/FV2014-558/
You will notice, that in the publication, also solar and wind have PEF. This is true, when you dont do LCA.If you do LCA, then PEF_generation = 0, but there are front costs (CO2 and embodiedenergy, which then can be combined to find the real PEF, etc. So, that's why here, the PEF for RES is zero.</t>
        </r>
      </text>
    </comment>
  </commentList>
</comments>
</file>

<file path=xl/comments19.xml><?xml version="1.0" encoding="utf-8"?>
<comments xmlns="http://schemas.openxmlformats.org/spreadsheetml/2006/main" xmlns:xdr="http://schemas.openxmlformats.org/drawingml/2006/spreadsheetDrawing">
  <authors>
    <author> </author>
  </authors>
  <commentList>
    <comment ref="A34" authorId="0">
      <text>
        <r>
          <rPr>
            <sz val="11"/>
            <color rgb="FF000000"/>
            <rFont val="Calibri"/>
            <family val="2"/>
            <charset val="1"/>
          </rPr>
          <t xml:space="preserve">Author:
</t>
        </r>
        <r>
          <rPr>
            <sz val="9"/>
            <color rgb="FF000000"/>
            <rFont val="Tahoma"/>
            <family val="2"/>
            <charset val="161"/>
          </rPr>
          <t xml:space="preserve">
This is not yet implemented (but is very easy to do so). It is a simple but convenient way to have default profiles.
So far, through 30-min annual timeseries, I fitted with fourier series each category: each month, working / business day -&gt; 24 profiles for each type of user. (using 5 frequencies each, 5 α and β amplitudes and 5 phases).--&gt; 480 coeffiecients for each application.
This is great but hard.
It is easier (though not as accurate) to extract (one way or another) the profiles per hour (typical), with some base statistics for weekend / business days.
The best would be to do what I have done (fourier series) for each profile, and store all
coefficients here.
</t>
        </r>
      </text>
    </comment>
  </commentList>
</comments>
</file>

<file path=xl/comments20.xml><?xml version="1.0" encoding="utf-8"?>
<comments xmlns="http://schemas.openxmlformats.org/spreadsheetml/2006/main" xmlns:xdr="http://schemas.openxmlformats.org/drawingml/2006/spreadsheetDrawing">
  <authors>
    <author> </author>
  </authors>
  <commentList>
    <comment ref="F25" authorId="0">
      <text>
        <r>
          <rPr>
            <sz val="11"/>
            <color rgb="FF000000"/>
            <rFont val="Calibri"/>
            <family val="2"/>
            <charset val="1"/>
          </rPr>
          <t xml:space="preserve">Author:
</t>
        </r>
        <r>
          <rPr>
            <sz val="9"/>
            <color rgb="FF000000"/>
            <rFont val="Tahoma"/>
            <family val="2"/>
            <charset val="161"/>
          </rPr>
          <t xml:space="preserve">
The most correct approach would be to take (internally) frame material, glass layers, glass separating gas, and calculate the thermal proeprties.
But, frame materials are not just materials (except for wood). They are specially formed to have air inside or other gas, they have complex geometry, rubber sealings, etc. So it would be 500% wrong, to take the k of aluminum and assume it is the k of an aluminium-frame.
So, in the block on the left, we define the FRAME's k. We assume for all, a frame coverage of 10% (which if you know better, you can change it), input the glass k, and calculate the final 
window\&amp;frame properties listed above.</t>
        </r>
      </text>
    </comment>
  </commentList>
</comments>
</file>

<file path=xl/sharedStrings.xml><?xml version="1.0" encoding="utf-8"?>
<sst xmlns="http://schemas.openxmlformats.org/spreadsheetml/2006/main" count="1344" uniqueCount="511">
  <si>
    <t xml:space="preserve">Column</t>
  </si>
  <si>
    <t xml:space="preserve">Units</t>
  </si>
  <si>
    <t xml:space="preserve">Description</t>
  </si>
  <si>
    <t xml:space="preserve">Annual Performance Degradation</t>
  </si>
  <si>
    <t xml:space="preserve">%</t>
  </si>
  <si>
    <t xml:space="preserve">Annual drop of performance: Y(t) = Y(0) * (1 - degr)**t = Y(t-1) * (1-degr)</t>
  </si>
  <si>
    <t xml:space="preserve">Lifetime</t>
  </si>
  <si>
    <t xml:space="preserve">int</t>
  </si>
  <si>
    <t xml:space="preserve">Useful life of the component</t>
  </si>
  <si>
    <t xml:space="preserve">Replace or Die</t>
  </si>
  <si>
    <t xml:space="preserve">str</t>
  </si>
  <si>
    <t xml:space="preserve">replace' or 'die'
If the project's life is greater than the life of a component, then
what to do at the component's EoL ?
(must have a value even if that is not the case) Also, DO NOT put foolishely "replace" all over the place</t>
  </si>
  <si>
    <t xml:space="preserve">Capex per Unit</t>
  </si>
  <si>
    <t xml:space="preserve">€ / u.g.s.</t>
  </si>
  <si>
    <t xml:space="preserve">Base cost of one u.g.s. of that component (including ALL costs within YOUR desired boundaries, EXCEPT running costs (fuel cost))</t>
  </si>
  <si>
    <t xml:space="preserve">Opex per Capex</t>
  </si>
  <si>
    <t xml:space="preserve">Annual O&amp;M costs, expressed as percentage of initial ABSOLUTE capex (which is not input, but input-derived).
NOT including fuel costs. These are calculated internally</t>
  </si>
  <si>
    <t xml:space="preserve">Embodied Energy per Unit</t>
  </si>
  <si>
    <r>
      <rPr>
        <b val="true"/>
        <sz val="11"/>
        <color rgb="FF000000"/>
        <rFont val="Calibri"/>
        <family val="2"/>
        <charset val="161"/>
      </rPr>
      <t xml:space="preserve">GJ</t>
    </r>
    <r>
      <rPr>
        <sz val="11"/>
        <color rgb="FF000000"/>
        <rFont val="Calibri"/>
        <family val="2"/>
        <charset val="1"/>
      </rPr>
      <t xml:space="preserve"> - PE / u.g.s.</t>
    </r>
  </si>
  <si>
    <r>
      <rPr>
        <b val="true"/>
        <sz val="11"/>
        <color rgb="FF000000"/>
        <rFont val="Calibri"/>
        <family val="2"/>
        <charset val="161"/>
      </rPr>
      <t xml:space="preserve">GJ</t>
    </r>
    <r>
      <rPr>
        <sz val="11"/>
        <color rgb="FF000000"/>
        <rFont val="Calibri"/>
        <family val="2"/>
        <charset val="1"/>
      </rPr>
      <t xml:space="preserve"> of Primary energy needed to manufacture (and whatever boundaries you want EXCEPT for USE stage) one u.g.s of component. </t>
    </r>
    <r>
      <rPr>
        <b val="true"/>
        <sz val="11"/>
        <color rgb="FF000000"/>
        <rFont val="Calibri"/>
        <family val="2"/>
        <charset val="161"/>
      </rPr>
      <t xml:space="preserve">Caution</t>
    </r>
    <r>
      <rPr>
        <sz val="11"/>
        <color rgb="FF000000"/>
        <rFont val="Calibri"/>
        <family val="2"/>
        <charset val="1"/>
      </rPr>
      <t xml:space="preserve">, the unit is GJ. It will not be mentioned again in each tab.</t>
    </r>
  </si>
  <si>
    <t xml:space="preserve">Embodied CO2 per unit</t>
  </si>
  <si>
    <t xml:space="preserve">kg CO2_eq / u.g.s.</t>
  </si>
  <si>
    <t xml:space="preserve">kg of CO2 equivalent needed to manufacture (and whatever boundaries you want EXCEPT for USE stage) one u.g.s of component</t>
  </si>
  <si>
    <t xml:space="preserve">Recyclability</t>
  </si>
  <si>
    <t xml:space="preserve">Percentage of component that is potentially recyclable </t>
  </si>
  <si>
    <t xml:space="preserve">RRR</t>
  </si>
  <si>
    <r>
      <rPr>
        <b val="true"/>
        <sz val="11"/>
        <color rgb="FF000000"/>
        <rFont val="Calibri"/>
        <family val="2"/>
        <charset val="161"/>
      </rPr>
      <t xml:space="preserve"> R</t>
    </r>
    <r>
      <rPr>
        <sz val="11"/>
        <color rgb="FF000000"/>
        <rFont val="Calibri"/>
        <family val="2"/>
        <charset val="161"/>
      </rPr>
      <t xml:space="preserve">atio of </t>
    </r>
    <r>
      <rPr>
        <b val="true"/>
        <sz val="11"/>
        <color rgb="FF000000"/>
        <rFont val="Calibri"/>
        <family val="2"/>
        <charset val="161"/>
      </rPr>
      <t xml:space="preserve"> R</t>
    </r>
    <r>
      <rPr>
        <sz val="11"/>
        <color rgb="FF000000"/>
        <rFont val="Calibri"/>
        <family val="2"/>
        <charset val="1"/>
      </rPr>
      <t xml:space="preserve">ecycled material /</t>
    </r>
    <r>
      <rPr>
        <b val="true"/>
        <sz val="11"/>
        <color rgb="FF000000"/>
        <rFont val="Calibri"/>
        <family val="2"/>
        <charset val="161"/>
      </rPr>
      <t xml:space="preserve"> R</t>
    </r>
    <r>
      <rPr>
        <sz val="11"/>
        <color rgb="FF000000"/>
        <rFont val="Calibri"/>
        <family val="2"/>
        <charset val="1"/>
      </rPr>
      <t xml:space="preserve">ecyclability   . Percentage of the recyclable part of the component that is actually of recycled origin</t>
    </r>
  </si>
  <si>
    <t xml:space="preserve">gDensity</t>
  </si>
  <si>
    <t xml:space="preserve">kg / u.g.s.</t>
  </si>
  <si>
    <t xml:space="preserve">Generalized Density: Mass per unit of size. Note: If the u.g.s. is volume [m3] then gDensity= density. If u.g.s. = kWh (e.g.storage), then gDensity = 1 / energy_density</t>
  </si>
  <si>
    <t xml:space="preserve">Pref</t>
  </si>
  <si>
    <t xml:space="preserve">u.g.s.</t>
  </si>
  <si>
    <t xml:space="preserve">What is the u.g.s. value for which, the above quantities (capex/unit, embodied_PE, embodied_CO2) was defined ?</t>
  </si>
  <si>
    <t xml:space="preserve">scale_cost</t>
  </si>
  <si>
    <t xml:space="preserve">float</t>
  </si>
  <si>
    <r>
      <rPr>
        <sz val="11"/>
        <color rgb="FF000000"/>
        <rFont val="Calibri"/>
        <family val="2"/>
        <charset val="1"/>
      </rPr>
      <t xml:space="preserve">exponent for power-scaling the input values to match the size of the user-input (see </t>
    </r>
    <r>
      <rPr>
        <b val="true"/>
        <sz val="11"/>
        <color rgb="FF000000"/>
        <rFont val="Calibri"/>
        <family val="2"/>
        <charset val="161"/>
      </rPr>
      <t xml:space="preserve">power-scaling</t>
    </r>
    <r>
      <rPr>
        <sz val="11"/>
        <color rgb="FF000000"/>
        <rFont val="Calibri"/>
        <family val="2"/>
        <charset val="1"/>
      </rPr>
      <t xml:space="preserve"> below)</t>
    </r>
  </si>
  <si>
    <t xml:space="preserve">scale_env</t>
  </si>
  <si>
    <r>
      <rPr>
        <sz val="11"/>
        <color rgb="FF000000"/>
        <rFont val="Calibri"/>
        <family val="2"/>
        <charset val="1"/>
      </rPr>
      <t xml:space="preserve">exponent for power-scaling the input values to match the size of the user-input (see </t>
    </r>
    <r>
      <rPr>
        <b val="true"/>
        <sz val="11"/>
        <color rgb="FF000000"/>
        <rFont val="Calibri"/>
        <family val="2"/>
        <charset val="161"/>
      </rPr>
      <t xml:space="preserve">power-scaling </t>
    </r>
    <r>
      <rPr>
        <sz val="11"/>
        <color rgb="FF000000"/>
        <rFont val="Calibri"/>
        <family val="2"/>
        <charset val="1"/>
      </rPr>
      <t xml:space="preserve">below)</t>
    </r>
  </si>
  <si>
    <t xml:space="preserve">Major upgrade point</t>
  </si>
  <si>
    <t xml:space="preserve">In what year, (and if), will the current component need a major upgrade / sub-component replacement (but not a full replacement)</t>
  </si>
  <si>
    <t xml:space="preserve">Major upgrade share</t>
  </si>
  <si>
    <t xml:space="preserve">What is the cost of that sub-component relative to the total initital cost of the full component</t>
  </si>
  <si>
    <t xml:space="preserve">Infrastructure Share</t>
  </si>
  <si>
    <t xml:space="preserve">What is the cost of the infrastructure for that component relativ to the total cost of turn-key the component?</t>
  </si>
  <si>
    <t xml:space="preserve">Dismantle Share</t>
  </si>
  <si>
    <t xml:space="preserve">The same for dismantle</t>
  </si>
  <si>
    <t xml:space="preserve">Intangible Assets</t>
  </si>
  <si>
    <t xml:space="preserve">Financial Quantity. Percentage of capital expenses that are not depreceable</t>
  </si>
  <si>
    <t xml:space="preserve">Colour</t>
  </si>
  <si>
    <t xml:space="preserve">Data provided by David (6/2022) in an excel file named 'Revisión BBDD RINNO'.</t>
  </si>
  <si>
    <t xml:space="preserve">Data is totally random</t>
  </si>
  <si>
    <t xml:space="preserve">Data is provided by literature or Simapro (information is contained in excel file 'Library with data sources')</t>
  </si>
  <si>
    <t xml:space="preserve">Data is based on estimations</t>
  </si>
  <si>
    <t xml:space="preserve">Data is provided by the technology expert</t>
  </si>
  <si>
    <t xml:space="preserve">Data provided by circe in the json</t>
  </si>
  <si>
    <t xml:space="preserve">Info comes from two libraries: 
1) library_server_2024_01_29 and 
2) library_new_spanish</t>
  </si>
  <si>
    <t xml:space="preserve">  </t>
  </si>
  <si>
    <t xml:space="preserve">Thermal sources</t>
  </si>
  <si>
    <t xml:space="preserve">Ventilation</t>
  </si>
  <si>
    <t xml:space="preserve">Insulation</t>
  </si>
  <si>
    <t xml:space="preserve">Glazing</t>
  </si>
  <si>
    <t xml:space="preserve">Water Storage</t>
  </si>
  <si>
    <t xml:space="preserve">El Generators</t>
  </si>
  <si>
    <t xml:space="preserve">El storage</t>
  </si>
  <si>
    <t xml:space="preserve">Various assets</t>
  </si>
  <si>
    <t xml:space="preserve">Resistive</t>
  </si>
  <si>
    <t xml:space="preserve">Micro ventilation Environmental data</t>
  </si>
  <si>
    <t xml:space="preserve">Environmental data for many components</t>
  </si>
  <si>
    <t xml:space="preserve">Environmental data for Thermocromic and one layer glass</t>
  </si>
  <si>
    <t xml:space="preserve">Pink Environmental data </t>
  </si>
  <si>
    <t xml:space="preserve">Environmental data for Building integrated and façade</t>
  </si>
  <si>
    <t xml:space="preserve">Environmental data for Lead acid</t>
  </si>
  <si>
    <t xml:space="preserve">All the data</t>
  </si>
  <si>
    <t xml:space="preserve">Infrared</t>
  </si>
  <si>
    <t xml:space="preserve">Boiler Biomass</t>
  </si>
  <si>
    <t xml:space="preserve">estimates</t>
  </si>
  <si>
    <t xml:space="preserve">*docu/r</t>
  </si>
  <si>
    <t xml:space="preserve">random</t>
  </si>
  <si>
    <t xml:space="preserve">kW</t>
  </si>
  <si>
    <t xml:space="preserve">type</t>
  </si>
  <si>
    <t xml:space="preserve">subtype</t>
  </si>
  <si>
    <t xml:space="preserve">*Heat efficiency</t>
  </si>
  <si>
    <t xml:space="preserve">*Cool efficiency</t>
  </si>
  <si>
    <t xml:space="preserve">Direct Fuel</t>
  </si>
  <si>
    <t xml:space="preserve">capex/u.g.s.</t>
  </si>
  <si>
    <t xml:space="preserve">opex_per_capex</t>
  </si>
  <si>
    <t xml:space="preserve">embodied_pe/u.g.s.</t>
  </si>
  <si>
    <t xml:space="preserve">embodied_co2/u.g.s.</t>
  </si>
  <si>
    <t xml:space="preserve">Water consumption</t>
  </si>
  <si>
    <t xml:space="preserve">lifetime</t>
  </si>
  <si>
    <t xml:space="preserve">Pref_cost</t>
  </si>
  <si>
    <t xml:space="preserve">Pref_env</t>
  </si>
  <si>
    <t xml:space="preserve">intangible_assets</t>
  </si>
  <si>
    <t xml:space="preserve">major_upgrade_point</t>
  </si>
  <si>
    <t xml:space="preserve">major_upgrade_share</t>
  </si>
  <si>
    <t xml:space="preserve">infrastructure_share</t>
  </si>
  <si>
    <t xml:space="preserve">dismantle_share</t>
  </si>
  <si>
    <t xml:space="preserve">annual_performance_degradation</t>
  </si>
  <si>
    <t xml:space="preserve">replace_or_die</t>
  </si>
  <si>
    <t xml:space="preserve">heat_pump</t>
  </si>
  <si>
    <t xml:space="preserve">air2air</t>
  </si>
  <si>
    <t xml:space="preserve">electricity</t>
  </si>
  <si>
    <t xml:space="preserve">replace</t>
  </si>
  <si>
    <t xml:space="preserve">air2water</t>
  </si>
  <si>
    <t xml:space="preserve">ground_source</t>
  </si>
  <si>
    <t xml:space="preserve">air_conditioning</t>
  </si>
  <si>
    <t xml:space="preserve">basic</t>
  </si>
  <si>
    <t xml:space="preserve">resistive</t>
  </si>
  <si>
    <t xml:space="preserve">infrared</t>
  </si>
  <si>
    <t xml:space="preserve">boiler</t>
  </si>
  <si>
    <t xml:space="preserve">lpg</t>
  </si>
  <si>
    <t xml:space="preserve">ngas</t>
  </si>
  <si>
    <t xml:space="preserve">diesel</t>
  </si>
  <si>
    <t xml:space="preserve">biomass</t>
  </si>
  <si>
    <t xml:space="preserve">oil</t>
  </si>
  <si>
    <t xml:space="preserve">district_heating</t>
  </si>
  <si>
    <t xml:space="preserve">standard</t>
  </si>
  <si>
    <t xml:space="preserve">Null</t>
  </si>
  <si>
    <t xml:space="preserve">die</t>
  </si>
  <si>
    <t xml:space="preserve">geo</t>
  </si>
  <si>
    <t xml:space="preserve">thermal</t>
  </si>
  <si>
    <t xml:space="preserve">solar</t>
  </si>
  <si>
    <t xml:space="preserve">fan</t>
  </si>
  <si>
    <t xml:space="preserve">coil</t>
  </si>
  <si>
    <t xml:space="preserve">water2water</t>
  </si>
  <si>
    <t xml:space="preserve">m3/min</t>
  </si>
  <si>
    <t xml:space="preserve">electric_eff (%)</t>
  </si>
  <si>
    <t xml:space="preserve">mixing_ventilation</t>
  </si>
  <si>
    <t xml:space="preserve">displacement_ventilation</t>
  </si>
  <si>
    <t xml:space="preserve">stratum_ventilation</t>
  </si>
  <si>
    <t xml:space="preserve">natural_ventilation</t>
  </si>
  <si>
    <t xml:space="preserve">micro_ventilation</t>
  </si>
  <si>
    <t xml:space="preserve">**readme</t>
  </si>
  <si>
    <t xml:space="preserve">Component</t>
  </si>
  <si>
    <t xml:space="preserve">unit</t>
  </si>
  <si>
    <t xml:space="preserve">estimates
(windows can be leaking.
If you think otherwise, set all to zero)</t>
  </si>
  <si>
    <t xml:space="preserve">semi-random (values) or random (randbetween)
(Some values exist at "Materials_Properties_..xlsx")</t>
  </si>
  <si>
    <t xml:space="preserve">?</t>
  </si>
  <si>
    <t xml:space="preserve">m2</t>
  </si>
  <si>
    <t xml:space="preserve">glass_layers</t>
  </si>
  <si>
    <t xml:space="preserve">k 
W / (m K)</t>
  </si>
  <si>
    <t xml:space="preserve">ach_through</t>
  </si>
  <si>
    <t xml:space="preserve">wood</t>
  </si>
  <si>
    <t xml:space="preserve">aluminium</t>
  </si>
  <si>
    <t xml:space="preserve">pvc</t>
  </si>
  <si>
    <t xml:space="preserve">normal_glass</t>
  </si>
  <si>
    <t xml:space="preserve">thermochromic</t>
  </si>
  <si>
    <t xml:space="preserve">door</t>
  </si>
  <si>
    <t xml:space="preserve">Frame Material</t>
  </si>
  <si>
    <t xml:space="preserve">Readme</t>
  </si>
  <si>
    <t xml:space="preserve">Wood</t>
  </si>
  <si>
    <t xml:space="preserve">Assumption to calculate k</t>
  </si>
  <si>
    <t xml:space="preserve">Input</t>
  </si>
  <si>
    <t xml:space="preserve">PVC</t>
  </si>
  <si>
    <t xml:space="preserve">frame coverage</t>
  </si>
  <si>
    <t xml:space="preserve">Aluminium</t>
  </si>
  <si>
    <t xml:space="preserve">glass k </t>
  </si>
  <si>
    <t xml:space="preserve">Thermochromic glass k </t>
  </si>
  <si>
    <r>
      <rPr>
        <sz val="11"/>
        <color rgb="FF000000"/>
        <rFont val="Calibri"/>
        <family val="2"/>
        <charset val="1"/>
      </rPr>
      <t xml:space="preserve">*** caution: </t>
    </r>
    <r>
      <rPr>
        <b val="true"/>
        <sz val="11"/>
        <color rgb="FF000000"/>
        <rFont val="Calibri"/>
        <family val="2"/>
        <charset val="1"/>
      </rPr>
      <t xml:space="preserve">frame </t>
    </r>
    <r>
      <rPr>
        <sz val="11"/>
        <color rgb="FF000000"/>
        <rFont val="Calibri"/>
        <family val="2"/>
        <charset val="1"/>
      </rPr>
      <t xml:space="preserve">material properties,
 different than generic material properties</t>
    </r>
  </si>
  <si>
    <t xml:space="preserve">*docu</t>
  </si>
  <si>
    <t xml:space="preserve">*estimates</t>
  </si>
  <si>
    <t xml:space="preserve">(density)</t>
  </si>
  <si>
    <t xml:space="preserve">m3</t>
  </si>
  <si>
    <t xml:space="preserve">stone_wool</t>
  </si>
  <si>
    <t xml:space="preserve">glass_wool</t>
  </si>
  <si>
    <t xml:space="preserve">natural_wool</t>
  </si>
  <si>
    <t xml:space="preserve">polyurethane</t>
  </si>
  <si>
    <t xml:space="preserve">expanded_polysterene</t>
  </si>
  <si>
    <t xml:space="preserve">extruded_polysterene</t>
  </si>
  <si>
    <t xml:space="preserve">aerogel</t>
  </si>
  <si>
    <t xml:space="preserve">kbox</t>
  </si>
  <si>
    <t xml:space="preserve">isocell_cellulose</t>
  </si>
  <si>
    <t xml:space="preserve">kflex_pipes_9x10</t>
  </si>
  <si>
    <t xml:space="preserve">kflex_pipes_9x12</t>
  </si>
  <si>
    <t xml:space="preserve">kflex_pipes_9x15</t>
  </si>
  <si>
    <t xml:space="preserve">kflex_pipes_19x18</t>
  </si>
  <si>
    <t xml:space="preserve">kflex_pipes_9x18</t>
  </si>
  <si>
    <t xml:space="preserve">kflex_pipes_9x22</t>
  </si>
  <si>
    <t xml:space="preserve">kflex_pipes_9x28</t>
  </si>
  <si>
    <t xml:space="preserve">kflex_pipes_9x35</t>
  </si>
  <si>
    <t xml:space="preserve">kflex_pipes_13x10</t>
  </si>
  <si>
    <t xml:space="preserve">kflex_pipes_13x12</t>
  </si>
  <si>
    <t xml:space="preserve">kflex_pipes_13x15</t>
  </si>
  <si>
    <t xml:space="preserve">kflex_pipes_13x18</t>
  </si>
  <si>
    <t xml:space="preserve">kflex_pipes_13x22</t>
  </si>
  <si>
    <t xml:space="preserve">kflex_pipes_13x28</t>
  </si>
  <si>
    <t xml:space="preserve">kflex_pipes_13x35</t>
  </si>
  <si>
    <t xml:space="preserve">kflex_pipes_19x10</t>
  </si>
  <si>
    <t xml:space="preserve">kflex_pipes_19x12</t>
  </si>
  <si>
    <t xml:space="preserve">kflex_pipes_19x15</t>
  </si>
  <si>
    <t xml:space="preserve">kflex_pipes_19x22</t>
  </si>
  <si>
    <t xml:space="preserve">kflex_pipes_19x28</t>
  </si>
  <si>
    <t xml:space="preserve">kflex_pipes_19x35</t>
  </si>
  <si>
    <t xml:space="preserve">kflex_pipes_25x22</t>
  </si>
  <si>
    <t xml:space="preserve">kflex_pipes_25x28</t>
  </si>
  <si>
    <t xml:space="preserve">kflex_pipes_25x35</t>
  </si>
  <si>
    <t xml:space="preserve">kflex_pipes_32x22</t>
  </si>
  <si>
    <t xml:space="preserve">kflex_pipes_32x28</t>
  </si>
  <si>
    <t xml:space="preserve">kflex_pipes_32x35</t>
  </si>
  <si>
    <t xml:space="preserve">kflex_panel_20</t>
  </si>
  <si>
    <t xml:space="preserve">kflex_panel_25</t>
  </si>
  <si>
    <t xml:space="preserve">kflex_panel_30</t>
  </si>
  <si>
    <t xml:space="preserve">kflex_panel_40</t>
  </si>
  <si>
    <t xml:space="preserve">kflex_panel_46</t>
  </si>
  <si>
    <t xml:space="preserve">kflex_panel_50</t>
  </si>
  <si>
    <t xml:space="preserve">kflex_panel_52</t>
  </si>
  <si>
    <t xml:space="preserve">kflex_panel_62</t>
  </si>
  <si>
    <t xml:space="preserve">kflex_panel_80</t>
  </si>
  <si>
    <t xml:space="preserve">kflex_sheet_6</t>
  </si>
  <si>
    <t xml:space="preserve">kflex_sheet_10</t>
  </si>
  <si>
    <t xml:space="preserve">kflex_sheet_13</t>
  </si>
  <si>
    <t xml:space="preserve">kflex_sheet_19</t>
  </si>
  <si>
    <t xml:space="preserve">kflex_sheet_25</t>
  </si>
  <si>
    <t xml:space="preserve">kflex_sheet_32</t>
  </si>
  <si>
    <t xml:space="preserve">kover</t>
  </si>
  <si>
    <t xml:space="preserve">Not currently used in the algorithm. Generally, the method (blown, sprayed, board, etc.) affect installation time and thus installation cost, and thus total cost.</t>
  </si>
  <si>
    <t xml:space="preserve">Application Method</t>
  </si>
  <si>
    <t xml:space="preserve">Installation Time 
Multipliers</t>
  </si>
  <si>
    <t xml:space="preserve">Sprayed</t>
  </si>
  <si>
    <t xml:space="preserve">Board</t>
  </si>
  <si>
    <t xml:space="preserve">Coil</t>
  </si>
  <si>
    <t xml:space="preserve">Insulation type</t>
  </si>
  <si>
    <r>
      <rPr>
        <sz val="11"/>
        <color rgb="FF000000"/>
        <rFont val="Calibri"/>
        <family val="2"/>
        <charset val="1"/>
      </rPr>
      <t xml:space="preserve">Density (kg/m</t>
    </r>
    <r>
      <rPr>
        <vertAlign val="superscript"/>
        <sz val="11"/>
        <color rgb="FF000000"/>
        <rFont val="Calibri"/>
        <family val="2"/>
        <charset val="161"/>
      </rPr>
      <t xml:space="preserve">3</t>
    </r>
    <r>
      <rPr>
        <sz val="11"/>
        <color rgb="FF000000"/>
        <rFont val="Calibri"/>
        <family val="2"/>
        <charset val="1"/>
      </rPr>
      <t xml:space="preserve">)</t>
    </r>
  </si>
  <si>
    <t xml:space="preserve">Thermal Conductivity (W/m K)</t>
  </si>
  <si>
    <t xml:space="preserve">Source</t>
  </si>
  <si>
    <r>
      <rPr>
        <sz val="11"/>
        <color rgb="FF000000"/>
        <rFont val="Calibri"/>
        <family val="2"/>
        <charset val="1"/>
      </rPr>
      <t xml:space="preserve">Converter (kg to m</t>
    </r>
    <r>
      <rPr>
        <vertAlign val="superscript"/>
        <sz val="11"/>
        <color rgb="FF000000"/>
        <rFont val="Calibri"/>
        <family val="2"/>
        <charset val="161"/>
      </rPr>
      <t xml:space="preserve">3</t>
    </r>
    <r>
      <rPr>
        <sz val="11"/>
        <color rgb="FF000000"/>
        <rFont val="Calibri"/>
        <family val="2"/>
        <charset val="1"/>
      </rPr>
      <t xml:space="preserve">)</t>
    </r>
  </si>
  <si>
    <t xml:space="preserve">min</t>
  </si>
  <si>
    <t xml:space="preserve">max</t>
  </si>
  <si>
    <t xml:space="preserve">kg</t>
  </si>
  <si>
    <r>
      <rPr>
        <sz val="11"/>
        <color rgb="FF000000"/>
        <rFont val="Calibri"/>
        <family val="2"/>
        <charset val="1"/>
      </rPr>
      <t xml:space="preserve">m</t>
    </r>
    <r>
      <rPr>
        <vertAlign val="superscript"/>
        <sz val="11"/>
        <color rgb="FF000000"/>
        <rFont val="Calibri"/>
        <family val="2"/>
        <charset val="161"/>
      </rPr>
      <t xml:space="preserve">3</t>
    </r>
  </si>
  <si>
    <t xml:space="preserve">Stone wool</t>
  </si>
  <si>
    <t xml:space="preserve">Researchgate</t>
  </si>
  <si>
    <t xml:space="preserve">0.032-0.044</t>
  </si>
  <si>
    <t xml:space="preserve">Link</t>
  </si>
  <si>
    <t xml:space="preserve">Natural Wool</t>
  </si>
  <si>
    <t xml:space="preserve">Polyurethane</t>
  </si>
  <si>
    <t xml:space="preserve">0.023-0.026</t>
  </si>
  <si>
    <t xml:space="preserve">Expanded Polysterene</t>
  </si>
  <si>
    <t xml:space="preserve">0.034-0.038</t>
  </si>
  <si>
    <t xml:space="preserve">Extruded Polysterene</t>
  </si>
  <si>
    <t xml:space="preserve">0.033-0.035</t>
  </si>
  <si>
    <t xml:space="preserve">Aerogel</t>
  </si>
  <si>
    <t xml:space="preserve">Cellulose</t>
  </si>
  <si>
    <t xml:space="preserve">0.038-0.040</t>
  </si>
  <si>
    <t xml:space="preserve">Glass wool</t>
  </si>
  <si>
    <t xml:space="preserve">random (1 / energy density_</t>
  </si>
  <si>
    <t xml:space="preserve">kWh</t>
  </si>
  <si>
    <t xml:space="preserve">pcm</t>
  </si>
  <si>
    <t xml:space="preserve">organic</t>
  </si>
  <si>
    <t xml:space="preserve">inorganic</t>
  </si>
  <si>
    <t xml:space="preserve">*readme</t>
  </si>
  <si>
    <t xml:space="preserve">litre</t>
  </si>
  <si>
    <t xml:space="preserve">hot_water</t>
  </si>
  <si>
    <t xml:space="preserve">copper</t>
  </si>
  <si>
    <t xml:space="preserve">steel</t>
  </si>
  <si>
    <t xml:space="preserve">iron</t>
  </si>
  <si>
    <t xml:space="preserve">pink_wall_integrated</t>
  </si>
  <si>
    <t xml:space="preserve">pink_wall_mounted</t>
  </si>
  <si>
    <t xml:space="preserve">Wind</t>
  </si>
  <si>
    <t xml:space="preserve">Heat pump air2water</t>
  </si>
  <si>
    <t xml:space="preserve">Battery Li ion</t>
  </si>
  <si>
    <t xml:space="preserve">PVs</t>
  </si>
  <si>
    <t xml:space="preserve">Power (kW)</t>
  </si>
  <si>
    <t xml:space="preserve">Pref/Power</t>
  </si>
  <si>
    <t xml:space="preserve">CO2 Emissions (kg)</t>
  </si>
  <si>
    <t xml:space="preserve">CO2/Power</t>
  </si>
  <si>
    <t xml:space="preserve">Primary energy (GJ)</t>
  </si>
  <si>
    <t xml:space="preserve">PE/Power</t>
  </si>
  <si>
    <t xml:space="preserve">Power</t>
  </si>
  <si>
    <t xml:space="preserve">a = 0,7482</t>
  </si>
  <si>
    <t xml:space="preserve">a=0,8345</t>
  </si>
  <si>
    <t xml:space="preserve">a = </t>
  </si>
  <si>
    <t xml:space="preserve">a =  -0,042</t>
  </si>
  <si>
    <t xml:space="preserve">a = -0,0004</t>
  </si>
  <si>
    <t xml:space="preserve">a = 0,1886</t>
  </si>
  <si>
    <t xml:space="preserve">a = 0,183</t>
  </si>
  <si>
    <t xml:space="preserve">fuel</t>
  </si>
  <si>
    <t xml:space="preserve">eff</t>
  </si>
  <si>
    <t xml:space="preserve">emission_factor (kg Co2 / kWh_el)</t>
  </si>
  <si>
    <t xml:space="preserve">pv</t>
  </si>
  <si>
    <t xml:space="preserve">ground</t>
  </si>
  <si>
    <t xml:space="preserve">None</t>
  </si>
  <si>
    <t xml:space="preserve">roofslanted</t>
  </si>
  <si>
    <t xml:space="preserve">roofflat</t>
  </si>
  <si>
    <t xml:space="preserve">zappafacade</t>
  </si>
  <si>
    <t xml:space="preserve">facademultisi</t>
  </si>
  <si>
    <t xml:space="preserve">facade</t>
  </si>
  <si>
    <t xml:space="preserve">facadesinglesi</t>
  </si>
  <si>
    <t xml:space="preserve">abora</t>
  </si>
  <si>
    <t xml:space="preserve">building_integrated</t>
  </si>
  <si>
    <t xml:space="preserve">zappa_facade_10</t>
  </si>
  <si>
    <t xml:space="preserve">zappa_facade_20</t>
  </si>
  <si>
    <t xml:space="preserve">zappa_facade_30</t>
  </si>
  <si>
    <t xml:space="preserve">zappa_facade_40</t>
  </si>
  <si>
    <t xml:space="preserve">zappa_facade_50</t>
  </si>
  <si>
    <t xml:space="preserve">zappa_facade_60</t>
  </si>
  <si>
    <t xml:space="preserve">zappa_facade_70</t>
  </si>
  <si>
    <t xml:space="preserve">zappa_facade_80</t>
  </si>
  <si>
    <t xml:space="preserve">zappa_facade_90</t>
  </si>
  <si>
    <t xml:space="preserve">wind</t>
  </si>
  <si>
    <t xml:space="preserve">geared</t>
  </si>
  <si>
    <t xml:space="preserve">gen_set</t>
  </si>
  <si>
    <t xml:space="preserve">grid</t>
  </si>
  <si>
    <t xml:space="preserve">country_specific</t>
  </si>
  <si>
    <t xml:space="preserve">chp</t>
  </si>
  <si>
    <t xml:space="preserve">fuel_cell</t>
  </si>
  <si>
    <t xml:space="preserve">ice</t>
  </si>
  <si>
    <t xml:space="preserve">stirling</t>
  </si>
  <si>
    <t xml:space="preserve">Zappa</t>
  </si>
  <si>
    <t xml:space="preserve">power_plant</t>
  </si>
  <si>
    <t xml:space="preserve">custom</t>
  </si>
  <si>
    <t xml:space="preserve">geothermal_hydro_plant</t>
  </si>
  <si>
    <t xml:space="preserve">geothermal</t>
  </si>
  <si>
    <t xml:space="preserve">hydro</t>
  </si>
  <si>
    <t xml:space="preserve">otec</t>
  </si>
  <si>
    <t xml:space="preserve">incineration_plant</t>
  </si>
  <si>
    <t xml:space="preserve">incineration</t>
  </si>
  <si>
    <t xml:space="preserve">Waste</t>
  </si>
  <si>
    <t xml:space="preserve">tidal_device_plant</t>
  </si>
  <si>
    <t xml:space="preserve">horizontal_axis</t>
  </si>
  <si>
    <t xml:space="preserve">vertical_axis</t>
  </si>
  <si>
    <t xml:space="preserve">tidal_kite</t>
  </si>
  <si>
    <t xml:space="preserve">fuel_cell_plant</t>
  </si>
  <si>
    <t xml:space="preserve">pemfc</t>
  </si>
  <si>
    <t xml:space="preserve">pafc</t>
  </si>
  <si>
    <t xml:space="preserve">safc</t>
  </si>
  <si>
    <t xml:space="preserve">afc</t>
  </si>
  <si>
    <t xml:space="preserve">sofc</t>
  </si>
  <si>
    <t xml:space="preserve">mcfc</t>
  </si>
  <si>
    <t xml:space="preserve">solar_park</t>
  </si>
  <si>
    <t xml:space="preserve">polycrystalline</t>
  </si>
  <si>
    <t xml:space="preserve">wind_park</t>
  </si>
  <si>
    <t xml:space="preserve">*docu
( 1 / energy_density)</t>
  </si>
  <si>
    <t xml:space="preserve">maxDoD</t>
  </si>
  <si>
    <t xml:space="preserve">Crate_nominal</t>
  </si>
  <si>
    <t xml:space="preserve">round_trip_eff</t>
  </si>
  <si>
    <t xml:space="preserve">peukert_exponent</t>
  </si>
  <si>
    <t xml:space="preserve">a</t>
  </si>
  <si>
    <t xml:space="preserve">b</t>
  </si>
  <si>
    <t xml:space="preserve">gama</t>
  </si>
  <si>
    <t xml:space="preserve">d</t>
  </si>
  <si>
    <t xml:space="preserve">e</t>
  </si>
  <si>
    <t xml:space="preserve">theta</t>
  </si>
  <si>
    <t xml:space="preserve">li_ion</t>
  </si>
  <si>
    <t xml:space="preserve">lfp</t>
  </si>
  <si>
    <t xml:space="preserve">nickel</t>
  </si>
  <si>
    <t xml:space="preserve">lmo</t>
  </si>
  <si>
    <t xml:space="preserve">lead_acid</t>
  </si>
  <si>
    <t xml:space="preserve">pba</t>
  </si>
  <si>
    <t xml:space="preserve">flow</t>
  </si>
  <si>
    <t xml:space="preserve">vanadium</t>
  </si>
  <si>
    <t xml:space="preserve">flywheel</t>
  </si>
  <si>
    <t xml:space="preserve">biobased</t>
  </si>
  <si>
    <t xml:space="preserve">saline</t>
  </si>
  <si>
    <t xml:space="preserve">readme</t>
  </si>
  <si>
    <t xml:space="preserve">panel</t>
  </si>
  <si>
    <t xml:space="preserve">photovoltaic</t>
  </si>
  <si>
    <t xml:space="preserve">solar_thermal</t>
  </si>
  <si>
    <t xml:space="preserve">Panel pv</t>
  </si>
  <si>
    <t xml:space="preserve">Panel solar thermal</t>
  </si>
  <si>
    <t xml:space="preserve">m2 (1 unit = 2,5 m2)</t>
  </si>
  <si>
    <t xml:space="preserve">PIECE</t>
  </si>
  <si>
    <t xml:space="preserve">max_lifetime_distance</t>
  </si>
  <si>
    <t xml:space="preserve">upgrade_km</t>
  </si>
  <si>
    <t xml:space="preserve">efficiency</t>
  </si>
  <si>
    <t xml:space="preserve">electric_vehicle</t>
  </si>
  <si>
    <t xml:space="preserve">vw_golf</t>
  </si>
  <si>
    <t xml:space="preserve">0.005</t>
  </si>
  <si>
    <t xml:space="preserve">conventional_vehicle</t>
  </si>
  <si>
    <t xml:space="preserve">Info</t>
  </si>
  <si>
    <t xml:space="preserve">source</t>
  </si>
  <si>
    <t xml:space="preserve">taken from el. Generators sheet (nickel)</t>
  </si>
  <si>
    <t xml:space="preserve">charging_station</t>
  </si>
  <si>
    <t xml:space="preserve">ac</t>
  </si>
  <si>
    <t xml:space="preserve">dc</t>
  </si>
  <si>
    <t xml:space="preserve">transformer</t>
  </si>
  <si>
    <t xml:space="preserve">hybrid</t>
  </si>
  <si>
    <t xml:space="preserve">three_phase</t>
  </si>
  <si>
    <t xml:space="preserve">three_phase_auto</t>
  </si>
  <si>
    <t xml:space="preserve">lighting</t>
  </si>
  <si>
    <t xml:space="preserve">led</t>
  </si>
  <si>
    <t xml:space="preserve">smart</t>
  </si>
  <si>
    <t xml:space="preserve">cmh</t>
  </si>
  <si>
    <t xml:space="preserve">interconnection</t>
  </si>
  <si>
    <t xml:space="preserve">submarine</t>
  </si>
  <si>
    <t xml:space="preserve">overhead line</t>
  </si>
  <si>
    <t xml:space="preserve">underground cable</t>
  </si>
  <si>
    <t xml:space="preserve">EV charging station</t>
  </si>
  <si>
    <t xml:space="preserve">Transformer</t>
  </si>
  <si>
    <t xml:space="preserve">kVA</t>
  </si>
  <si>
    <t xml:space="preserve">Lighting </t>
  </si>
  <si>
    <t xml:space="preserve">hours</t>
  </si>
  <si>
    <t xml:space="preserve">-</t>
  </si>
  <si>
    <t xml:space="preserve">material</t>
  </si>
  <si>
    <t xml:space="preserve">** Rigid Materials (structural) are not rennovation based, and thus
never get involved in the analysis, apart from their thermal properties.</t>
  </si>
  <si>
    <t xml:space="preserve">concrete</t>
  </si>
  <si>
    <t xml:space="preserve">cinterblock</t>
  </si>
  <si>
    <t xml:space="preserve">foam_concrete</t>
  </si>
  <si>
    <t xml:space="preserve">https://www.researchgate.net/publication/283641278_Foam_concrete-aerogel_composite_for_thermal_insulation_in_lightweight</t>
  </si>
  <si>
    <t xml:space="preserve">stone</t>
  </si>
  <si>
    <t xml:space="preserve">https://www.engineeringtoolbox.com/thermal-conductivity-d_429.html</t>
  </si>
  <si>
    <t xml:space="preserve">brick</t>
  </si>
  <si>
    <t xml:space="preserve">plaster</t>
  </si>
  <si>
    <t xml:space="preserve">glass</t>
  </si>
  <si>
    <t xml:space="preserve">fiberglass</t>
  </si>
  <si>
    <t xml:space="preserve">sheet_metal</t>
  </si>
  <si>
    <t xml:space="preserve">gypsum_board</t>
  </si>
  <si>
    <t xml:space="preserve">aluminium_sheet</t>
  </si>
  <si>
    <t xml:space="preserve">This column is used. 
The left is as a helper (if needed)</t>
  </si>
  <si>
    <t xml:space="preserve">ENER/C3/2013-484/02/FV2014-558/
page 74-80 (physical energy method)</t>
  </si>
  <si>
    <t xml:space="preserve">price per kWH 
of energy contained in fuel</t>
  </si>
  <si>
    <t xml:space="preserve">CO2_content
(kg CO2_eq per kg fuel)</t>
  </si>
  <si>
    <t xml:space="preserve">CO2_content
(kg CO2_eq kWh)</t>
  </si>
  <si>
    <t xml:space="preserve">PEF</t>
  </si>
  <si>
    <t xml:space="preserve">LHV (MJ/kg)</t>
  </si>
  <si>
    <t xml:space="preserve">density (kg/m3)</t>
  </si>
  <si>
    <t xml:space="preserve">price (€ / kWh)</t>
  </si>
  <si>
    <t xml:space="preserve">oil_crude</t>
  </si>
  <si>
    <t xml:space="preserve">biodiesel</t>
  </si>
  <si>
    <t xml:space="preserve">nan</t>
  </si>
  <si>
    <t xml:space="preserve">nuclear</t>
  </si>
  <si>
    <t xml:space="preserve">5 kwh/kg</t>
  </si>
  <si>
    <t xml:space="preserve">gasoline</t>
  </si>
  <si>
    <t xml:space="preserve">*** Normalized Load = (load(t) - 0)/ (max_load - 0)</t>
  </si>
  <si>
    <t xml:space="preserve">Type</t>
  </si>
  <si>
    <t xml:space="preserve">Household</t>
  </si>
  <si>
    <t xml:space="preserve">Building_commercial</t>
  </si>
  <si>
    <t xml:space="preserve">Building_residential</t>
  </si>
  <si>
    <t xml:space="preserve">University</t>
  </si>
  <si>
    <t xml:space="preserve">Industry</t>
  </si>
  <si>
    <t xml:space="preserve">EV_charge</t>
  </si>
  <si>
    <t xml:space="preserve">b_day_offset</t>
  </si>
  <si>
    <t xml:space="preserve">b_day_std</t>
  </si>
  <si>
    <t xml:space="preserve">sk_offset</t>
  </si>
  <si>
    <t xml:space="preserve">sk_std</t>
  </si>
  <si>
    <t xml:space="preserve">Glass layers</t>
  </si>
  <si>
    <t xml:space="preserve">Capex / u.g.s.</t>
  </si>
  <si>
    <t xml:space="preserve">Opex_per_capex</t>
  </si>
  <si>
    <t xml:space="preserve">Embodied PE/u.g.s.</t>
  </si>
  <si>
    <t xml:space="preserve">Embodied CO2 / u.g.s.</t>
  </si>
  <si>
    <t xml:space="preserve">annual performance degradataion</t>
  </si>
  <si>
    <t xml:space="preserve">Wood-Thermocromic</t>
  </si>
  <si>
    <t xml:space="preserve">Aluminium-Thermocromic</t>
  </si>
  <si>
    <t xml:space="preserve">PVC-Thermocromic</t>
  </si>
  <si>
    <t xml:space="preserve">Reference Size</t>
  </si>
  <si>
    <t xml:space="preserve">Ref X</t>
  </si>
  <si>
    <t xml:space="preserve">&lt;-</t>
  </si>
  <si>
    <t xml:space="preserve">Ref Y</t>
  </si>
  <si>
    <t xml:space="preserve">α</t>
  </si>
  <si>
    <t xml:space="preserve">-&gt;from interpolation</t>
  </si>
  <si>
    <t xml:space="preserve">Excel x and y</t>
  </si>
  <si>
    <t xml:space="preserve">Test results</t>
  </si>
  <si>
    <t xml:space="preserve">Samples X</t>
  </si>
  <si>
    <t xml:space="preserve">Ref size / Sample X</t>
  </si>
  <si>
    <t xml:space="preserve">Sample Y</t>
  </si>
  <si>
    <t xml:space="preserve">interpolated</t>
  </si>
  <si>
    <t xml:space="preserve">wEnergy content (kWh/kg)</t>
  </si>
  <si>
    <t xml:space="preserve">vEnergy Content (kWh / lt)</t>
  </si>
  <si>
    <t xml:space="preserve">Price (€ / lt)</t>
  </si>
  <si>
    <t xml:space="preserve">Price (€ / kWh)</t>
  </si>
  <si>
    <t xml:space="preserve">Oil Crude</t>
  </si>
  <si>
    <t xml:space="preserve">Ngas</t>
  </si>
  <si>
    <t xml:space="preserve">Diesel</t>
  </si>
  <si>
    <t xml:space="preserve">LPG</t>
  </si>
  <si>
    <t xml:space="preserve">(says LPG put referse to Gaseous Propane)</t>
  </si>
  <si>
    <t xml:space="preserve">Biodiesel</t>
  </si>
  <si>
    <t xml:space="preserve">Biomass</t>
  </si>
  <si>
    <t xml:space="preserve">Electricity</t>
  </si>
  <si>
    <t xml:space="preserve">Nuclear</t>
  </si>
  <si>
    <t xml:space="preserve">Solar</t>
  </si>
  <si>
    <t xml:space="preserve">Hydro</t>
  </si>
  <si>
    <t xml:space="preserve">Geothermal</t>
  </si>
  <si>
    <t xml:space="preserve">Converter (kg to kWh)</t>
  </si>
  <si>
    <t xml:space="preserve">Month</t>
  </si>
  <si>
    <t xml:space="preserve">Jan</t>
  </si>
  <si>
    <t xml:space="preserve">Feb</t>
  </si>
  <si>
    <t xml:space="preserve">Mar</t>
  </si>
  <si>
    <t xml:space="preserve">Apr</t>
  </si>
  <si>
    <t xml:space="preserve">May</t>
  </si>
  <si>
    <t xml:space="preserve">Jun</t>
  </si>
  <si>
    <t xml:space="preserve">Jul</t>
  </si>
  <si>
    <t xml:space="preserve">Aug</t>
  </si>
  <si>
    <t xml:space="preserve">Sep</t>
  </si>
  <si>
    <t xml:space="preserve">Oct</t>
  </si>
  <si>
    <t xml:space="preserve">Nov</t>
  </si>
  <si>
    <t xml:space="preserve">Dec</t>
  </si>
  <si>
    <t xml:space="preserve">Monthly Coefficient</t>
  </si>
  <si>
    <t xml:space="preserve">Monthly Energy</t>
  </si>
  <si>
    <t xml:space="preserve">Daily Energy (avg)</t>
  </si>
  <si>
    <t xml:space="preserve">Work </t>
  </si>
  <si>
    <t xml:space="preserve">SK</t>
  </si>
  <si>
    <t xml:space="preserve">Day_Energy_fit</t>
  </si>
  <si>
    <t xml:space="preserve">Avg_Power</t>
  </si>
  <si>
    <t xml:space="preserve">mod1</t>
  </si>
  <si>
    <t xml:space="preserve">Ao</t>
  </si>
  <si>
    <t xml:space="preserve">Bo</t>
  </si>
  <si>
    <t xml:space="preserve">w</t>
  </si>
  <si>
    <t xml:space="preserve">φ</t>
  </si>
  <si>
    <t xml:space="preserve">mod2</t>
  </si>
  <si>
    <t xml:space="preserve">wo</t>
  </si>
  <si>
    <t xml:space="preserve">Annual Energy (MWh)</t>
  </si>
  <si>
    <t xml:space="preserve">Work_multiplier</t>
  </si>
  <si>
    <t xml:space="preserve">SK_multiplier</t>
  </si>
  <si>
    <t xml:space="preserve">mod3</t>
  </si>
  <si>
    <t xml:space="preserve">mod4</t>
  </si>
  <si>
    <t xml:space="preserve">mod5</t>
  </si>
  <si>
    <t xml:space="preserve">x</t>
  </si>
  <si>
    <t xml:space="preserve">sum</t>
  </si>
  <si>
    <t xml:space="preserve">monthly</t>
  </si>
  <si>
    <t xml:space="preserve">annual </t>
  </si>
  <si>
    <t xml:space="preserve">Fourier Coefficients Pure (w needs multiplication by wo, and calibrated amplitudes for 34,200 MWh / ann)</t>
  </si>
</sst>
</file>

<file path=xl/styles.xml><?xml version="1.0" encoding="utf-8"?>
<styleSheet xmlns="http://schemas.openxmlformats.org/spreadsheetml/2006/main">
  <numFmts count="8">
    <numFmt numFmtId="164" formatCode="General"/>
    <numFmt numFmtId="165" formatCode="#,##0.00"/>
    <numFmt numFmtId="166" formatCode="0.00%"/>
    <numFmt numFmtId="167" formatCode="General"/>
    <numFmt numFmtId="168" formatCode="0"/>
    <numFmt numFmtId="169" formatCode="0.00"/>
    <numFmt numFmtId="170" formatCode="0.000"/>
    <numFmt numFmtId="171" formatCode="#,##0.0000"/>
  </numFmts>
  <fonts count="34">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61"/>
    </font>
    <font>
      <sz val="11"/>
      <color rgb="FF000000"/>
      <name val="Calibri"/>
      <family val="2"/>
      <charset val="161"/>
    </font>
    <font>
      <b val="true"/>
      <u val="single"/>
      <sz val="14"/>
      <color rgb="FF000000"/>
      <name val="Calibri"/>
      <family val="0"/>
    </font>
    <font>
      <sz val="14"/>
      <color rgb="FF000000"/>
      <name val="Times New Roman"/>
      <family val="0"/>
    </font>
    <font>
      <sz val="11"/>
      <color rgb="FFFFFFFF"/>
      <name val="Calibri"/>
      <family val="0"/>
    </font>
    <font>
      <sz val="11"/>
      <color rgb="FF000000"/>
      <name val="Times New Roman"/>
      <family val="0"/>
    </font>
    <font>
      <b val="true"/>
      <sz val="11"/>
      <color rgb="FFFFFFFF"/>
      <name val="Calibri"/>
      <family val="0"/>
    </font>
    <font>
      <sz val="11"/>
      <color rgb="FF000000"/>
      <name val="Calibri"/>
      <family val="0"/>
    </font>
    <font>
      <b val="true"/>
      <sz val="12"/>
      <color rgb="FF000000"/>
      <name val="Calibri"/>
      <family val="0"/>
    </font>
    <font>
      <sz val="12"/>
      <color rgb="FF000000"/>
      <name val="Times New Roman"/>
      <family val="0"/>
    </font>
    <font>
      <b val="true"/>
      <sz val="11"/>
      <color rgb="FF000000"/>
      <name val="Calibri"/>
      <family val="0"/>
    </font>
    <font>
      <b val="true"/>
      <sz val="11"/>
      <color rgb="FF000000"/>
      <name val="Calibri"/>
      <family val="2"/>
      <charset val="1"/>
    </font>
    <font>
      <sz val="9"/>
      <color rgb="FF000000"/>
      <name val="Tahoma"/>
      <family val="2"/>
      <charset val="1"/>
    </font>
    <font>
      <sz val="9"/>
      <color rgb="FF000000"/>
      <name val="Tahoma"/>
      <family val="2"/>
      <charset val="161"/>
    </font>
    <font>
      <sz val="8"/>
      <color rgb="FF000000"/>
      <name val="Calibri"/>
      <family val="2"/>
      <charset val="1"/>
    </font>
    <font>
      <sz val="11"/>
      <color rgb="FF9C5700"/>
      <name val="Calibri"/>
      <family val="2"/>
      <charset val="1"/>
    </font>
    <font>
      <sz val="11"/>
      <color rgb="FF3F3F76"/>
      <name val="Calibri"/>
      <family val="2"/>
      <charset val="1"/>
    </font>
    <font>
      <vertAlign val="superscript"/>
      <sz val="11"/>
      <color rgb="FF000000"/>
      <name val="Calibri"/>
      <family val="2"/>
      <charset val="161"/>
    </font>
    <font>
      <u val="single"/>
      <sz val="11"/>
      <color rgb="FF0563C1"/>
      <name val="Calibri"/>
      <family val="2"/>
      <charset val="1"/>
    </font>
    <font>
      <b val="true"/>
      <sz val="9"/>
      <color rgb="FF000000"/>
      <name val="Tahoma"/>
      <family val="2"/>
      <charset val="161"/>
    </font>
    <font>
      <sz val="14"/>
      <color rgb="FF595959"/>
      <name val="Calibri"/>
      <family val="2"/>
    </font>
    <font>
      <sz val="10"/>
      <color rgb="FF000000"/>
      <name val="Calibri"/>
      <family val="2"/>
    </font>
    <font>
      <sz val="9"/>
      <color rgb="FF595959"/>
      <name val="Calibri"/>
      <family val="2"/>
    </font>
    <font>
      <u val="single"/>
      <sz val="9"/>
      <color rgb="FF000000"/>
      <name val="Tahoma"/>
      <family val="2"/>
      <charset val="161"/>
    </font>
    <font>
      <i val="true"/>
      <sz val="11"/>
      <color rgb="FF7F7F7F"/>
      <name val="Calibri"/>
      <family val="2"/>
      <charset val="161"/>
    </font>
    <font>
      <b val="true"/>
      <sz val="11"/>
      <color rgb="FFFA7D00"/>
      <name val="Calibri"/>
      <family val="2"/>
      <charset val="161"/>
    </font>
    <font>
      <b val="true"/>
      <sz val="11"/>
      <color rgb="FF3F3F3F"/>
      <name val="Calibri"/>
      <family val="2"/>
      <charset val="161"/>
    </font>
    <font>
      <sz val="11"/>
      <color rgb="FF3F3F3F"/>
      <name val="Calibri"/>
      <family val="2"/>
      <charset val="161"/>
    </font>
    <font>
      <sz val="10"/>
      <color rgb="FF595959"/>
      <name val="Calibri"/>
      <family val="2"/>
    </font>
    <font>
      <b val="true"/>
      <u val="single"/>
      <sz val="12"/>
      <color rgb="FFFFFFFF"/>
      <name val="Calibri"/>
      <family val="0"/>
    </font>
  </fonts>
  <fills count="23">
    <fill>
      <patternFill patternType="none"/>
    </fill>
    <fill>
      <patternFill patternType="gray125"/>
    </fill>
    <fill>
      <patternFill patternType="solid">
        <fgColor rgb="FFFFFFCC"/>
        <bgColor rgb="FFFFF2CC"/>
      </patternFill>
    </fill>
    <fill>
      <patternFill patternType="solid">
        <fgColor rgb="FFFFEB9C"/>
        <bgColor rgb="FFFFE699"/>
      </patternFill>
    </fill>
    <fill>
      <patternFill patternType="solid">
        <fgColor rgb="FFFFCC99"/>
        <bgColor rgb="FFF8CBAD"/>
      </patternFill>
    </fill>
    <fill>
      <patternFill patternType="solid">
        <fgColor rgb="FFF2F2F2"/>
        <bgColor rgb="FFE2F0D9"/>
      </patternFill>
    </fill>
    <fill>
      <patternFill patternType="solid">
        <fgColor rgb="FFFFD966"/>
        <bgColor rgb="FFFFE699"/>
      </patternFill>
    </fill>
    <fill>
      <patternFill patternType="solid">
        <fgColor rgb="FFFFF2CC"/>
        <bgColor rgb="FFFFFFCC"/>
      </patternFill>
    </fill>
    <fill>
      <patternFill patternType="solid">
        <fgColor rgb="FF00B0F0"/>
        <bgColor rgb="FF00DADB"/>
      </patternFill>
    </fill>
    <fill>
      <patternFill patternType="solid">
        <fgColor rgb="FFFF0000"/>
        <bgColor rgb="FF800000"/>
      </patternFill>
    </fill>
    <fill>
      <patternFill patternType="solid">
        <fgColor rgb="FF92D050"/>
        <bgColor rgb="FFA9D18E"/>
      </patternFill>
    </fill>
    <fill>
      <patternFill patternType="solid">
        <fgColor rgb="FFFFFF00"/>
        <bgColor rgb="FFFFD966"/>
      </patternFill>
    </fill>
    <fill>
      <patternFill patternType="solid">
        <fgColor rgb="FF7030A0"/>
        <bgColor rgb="FF993366"/>
      </patternFill>
    </fill>
    <fill>
      <patternFill patternType="solid">
        <fgColor rgb="FF00B050"/>
        <bgColor rgb="FF008080"/>
      </patternFill>
    </fill>
    <fill>
      <patternFill patternType="solid">
        <fgColor rgb="FF00DADB"/>
        <bgColor rgb="FF00FFFF"/>
      </patternFill>
    </fill>
    <fill>
      <patternFill patternType="solid">
        <fgColor rgb="FFA9D18E"/>
        <bgColor rgb="FF92D050"/>
      </patternFill>
    </fill>
    <fill>
      <patternFill patternType="solid">
        <fgColor rgb="FFE2F0D9"/>
        <bgColor rgb="FFF2F2F2"/>
      </patternFill>
    </fill>
    <fill>
      <patternFill patternType="solid">
        <fgColor rgb="FFFFE699"/>
        <bgColor rgb="FFFFEB9C"/>
      </patternFill>
    </fill>
    <fill>
      <patternFill patternType="solid">
        <fgColor rgb="FFFFC000"/>
        <bgColor rgb="FFFFD966"/>
      </patternFill>
    </fill>
    <fill>
      <patternFill patternType="solid">
        <fgColor rgb="FFD0CECE"/>
        <bgColor rgb="FFD9D9D9"/>
      </patternFill>
    </fill>
    <fill>
      <patternFill patternType="solid">
        <fgColor rgb="FFF8CBAD"/>
        <bgColor rgb="FFFFCC99"/>
      </patternFill>
    </fill>
    <fill>
      <patternFill patternType="solid">
        <fgColor rgb="FFFFFFFF"/>
        <bgColor rgb="FFF2F2F2"/>
      </patternFill>
    </fill>
    <fill>
      <patternFill patternType="solid">
        <fgColor rgb="FFFB7561"/>
        <bgColor rgb="FFED7D31"/>
      </patternFill>
    </fill>
  </fills>
  <borders count="59">
    <border diagonalUp="false" diagonalDown="false">
      <left/>
      <right/>
      <top/>
      <bottom/>
      <diagonal/>
    </border>
    <border diagonalUp="false" diagonalDown="false">
      <left style="thin">
        <color rgb="FFB2B2B2"/>
      </left>
      <right style="thin">
        <color rgb="FFB2B2B2"/>
      </right>
      <top style="thin">
        <color rgb="FFB2B2B2"/>
      </top>
      <bottom style="thin">
        <color rgb="FFB2B2B2"/>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style="thin">
        <color rgb="FF3F3F3F"/>
      </left>
      <right style="thin">
        <color rgb="FF3F3F3F"/>
      </right>
      <top style="thin">
        <color rgb="FF3F3F3F"/>
      </top>
      <bottom style="thin">
        <color rgb="FF3F3F3F"/>
      </bottom>
      <diagonal/>
    </border>
    <border diagonalUp="false" diagonalDown="false">
      <left style="medium"/>
      <right style="medium"/>
      <top style="medium"/>
      <bottom style="medium"/>
      <diagonal/>
    </border>
    <border diagonalUp="false" diagonalDown="false">
      <left style="mediumDashed"/>
      <right style="mediumDashed"/>
      <top style="mediumDashed"/>
      <bottom style="mediumDashed"/>
      <diagonal/>
    </border>
    <border diagonalUp="false" diagonalDown="false">
      <left style="thin"/>
      <right style="thin"/>
      <top style="thin"/>
      <bottom style="thin"/>
      <diagonal/>
    </border>
    <border diagonalUp="false" diagonalDown="false">
      <left/>
      <right/>
      <top/>
      <bottom style="mediu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right style="medium"/>
      <top style="medium"/>
      <bottom style="mediu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style="medium"/>
      <right style="medium"/>
      <top/>
      <bottom/>
      <diagonal/>
    </border>
    <border diagonalUp="false" diagonalDown="false">
      <left/>
      <right style="medium"/>
      <top/>
      <bottom/>
      <diagonal/>
    </border>
    <border diagonalUp="false" diagonalDown="false">
      <left style="medium"/>
      <right style="medium"/>
      <top style="medium"/>
      <bottom/>
      <diagonal/>
    </border>
    <border diagonalUp="false" diagonalDown="false">
      <left/>
      <right style="medium"/>
      <top style="medium"/>
      <bottom/>
      <diagonal/>
    </border>
    <border diagonalUp="false" diagonalDown="false">
      <left style="thin"/>
      <right/>
      <top style="thin"/>
      <bottom/>
      <diagonal/>
    </border>
    <border diagonalUp="false" diagonalDown="false">
      <left style="thin"/>
      <right style="thin"/>
      <top/>
      <bottom style="thin"/>
      <diagonal/>
    </border>
    <border diagonalUp="false" diagonalDown="false">
      <left style="thin"/>
      <right style="thin"/>
      <top style="thin"/>
      <botto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thin"/>
      <top/>
      <bottom/>
      <diagonal/>
    </border>
    <border diagonalUp="false" diagonalDown="false">
      <left style="thin"/>
      <right style="thin"/>
      <top style="medium"/>
      <bottom style="thin"/>
      <diagonal/>
    </border>
    <border diagonalUp="false" diagonalDown="false">
      <left/>
      <right style="thin"/>
      <top style="medium"/>
      <bottom style="thin"/>
      <diagonal/>
    </border>
    <border diagonalUp="false" diagonalDown="false">
      <left/>
      <right style="thin"/>
      <top style="thin"/>
      <bottom/>
      <diagonal/>
    </border>
    <border diagonalUp="false" diagonalDown="false">
      <left style="medium"/>
      <right/>
      <top/>
      <bottom style="medium"/>
      <diagonal/>
    </border>
    <border diagonalUp="false" diagonalDown="false">
      <left/>
      <right/>
      <top style="medium"/>
      <bottom/>
      <diagonal/>
    </border>
    <border diagonalUp="false" diagonalDown="false">
      <left style="thin"/>
      <right style="thin"/>
      <top style="thin"/>
      <bottom style="medium"/>
      <diagonal/>
    </border>
    <border diagonalUp="false" diagonalDown="false">
      <left style="mediumDashed"/>
      <right/>
      <top style="mediumDashed"/>
      <bottom/>
      <diagonal/>
    </border>
    <border diagonalUp="false" diagonalDown="false">
      <left/>
      <right/>
      <top style="mediumDashed"/>
      <bottom/>
      <diagonal/>
    </border>
    <border diagonalUp="false" diagonalDown="false">
      <left/>
      <right style="mediumDashed"/>
      <top style="mediumDashed"/>
      <bottom/>
      <diagonal/>
    </border>
    <border diagonalUp="false" diagonalDown="false">
      <left/>
      <right style="mediumDashed"/>
      <top/>
      <bottom/>
      <diagonal/>
    </border>
    <border diagonalUp="false" diagonalDown="false">
      <left style="thin">
        <color rgb="FF7F7F7F"/>
      </left>
      <right style="medium"/>
      <top style="medium"/>
      <bottom style="thin">
        <color rgb="FF7F7F7F"/>
      </bottom>
      <diagonal/>
    </border>
    <border diagonalUp="false" diagonalDown="false">
      <left style="medium"/>
      <right style="thin"/>
      <top style="thin"/>
      <bottom/>
      <diagonal/>
    </border>
    <border diagonalUp="false" diagonalDown="false">
      <left style="thin">
        <color rgb="FF7F7F7F"/>
      </left>
      <right style="medium"/>
      <top style="thin">
        <color rgb="FF7F7F7F"/>
      </top>
      <bottom/>
      <diagonal/>
    </border>
    <border diagonalUp="false" diagonalDown="false">
      <left style="medium"/>
      <right style="thin">
        <color rgb="FF7F7F7F"/>
      </right>
      <top style="medium"/>
      <bottom style="medium"/>
      <diagonal/>
    </border>
    <border diagonalUp="false" diagonalDown="false">
      <left style="thin">
        <color rgb="FF7F7F7F"/>
      </left>
      <right style="medium"/>
      <top style="medium"/>
      <bottom style="medium"/>
      <diagonal/>
    </border>
    <border diagonalUp="false" diagonalDown="false">
      <left style="mediumDashed"/>
      <right/>
      <top/>
      <bottom/>
      <diagonal/>
    </border>
    <border diagonalUp="false" diagonalDown="false">
      <left style="medium"/>
      <right/>
      <top/>
      <bottom style="thin">
        <color rgb="FF7F7F7F"/>
      </bottom>
      <diagonal/>
    </border>
    <border diagonalUp="false" diagonalDown="false">
      <left style="medium"/>
      <right style="medium"/>
      <top/>
      <bottom style="thin">
        <color rgb="FF7F7F7F"/>
      </bottom>
      <diagonal/>
    </border>
    <border diagonalUp="false" diagonalDown="false">
      <left/>
      <right style="medium"/>
      <top style="thin">
        <color rgb="FF3F3F3F"/>
      </top>
      <bottom style="medium"/>
      <diagonal/>
    </border>
    <border diagonalUp="false" diagonalDown="false">
      <left style="medium"/>
      <right/>
      <top style="thin">
        <color rgb="FF7F7F7F"/>
      </top>
      <bottom style="thin">
        <color rgb="FF7F7F7F"/>
      </bottom>
      <diagonal/>
    </border>
    <border diagonalUp="false" diagonalDown="false">
      <left style="medium"/>
      <right style="medium"/>
      <top style="thin">
        <color rgb="FF7F7F7F"/>
      </top>
      <bottom style="thin">
        <color rgb="FF7F7F7F"/>
      </bottom>
      <diagonal/>
    </border>
    <border diagonalUp="false" diagonalDown="false">
      <left style="medium"/>
      <right/>
      <top style="thin">
        <color rgb="FF7F7F7F"/>
      </top>
      <bottom style="medium"/>
      <diagonal/>
    </border>
    <border diagonalUp="false" diagonalDown="false">
      <left style="medium"/>
      <right style="medium"/>
      <top style="thin">
        <color rgb="FF7F7F7F"/>
      </top>
      <bottom style="medium"/>
      <diagonal/>
    </border>
    <border diagonalUp="false" diagonalDown="false">
      <left style="mediumDashed"/>
      <right/>
      <top/>
      <bottom style="mediumDashed"/>
      <diagonal/>
    </border>
    <border diagonalUp="false" diagonalDown="false">
      <left/>
      <right/>
      <top/>
      <bottom style="mediumDashed"/>
      <diagonal/>
    </border>
    <border diagonalUp="false" diagonalDown="false">
      <left/>
      <right style="mediumDashed"/>
      <top/>
      <bottom style="mediumDashed"/>
      <diagonal/>
    </border>
    <border diagonalUp="false" diagonalDown="false">
      <left style="medium"/>
      <right/>
      <top/>
      <bottom/>
      <diagonal/>
    </border>
    <border diagonalUp="false" diagonalDown="false">
      <left style="medium"/>
      <right/>
      <top style="medium"/>
      <bottom/>
      <diagonal/>
    </border>
    <border diagonalUp="false" diagonalDown="false">
      <left style="medium"/>
      <right style="thin"/>
      <top style="medium"/>
      <bottom style="medium"/>
      <diagonal/>
    </border>
    <border diagonalUp="false" diagonalDown="false">
      <left style="thin"/>
      <right/>
      <top style="medium"/>
      <bottom style="thin"/>
      <diagonal/>
    </border>
    <border diagonalUp="false" diagonalDown="false">
      <left style="thin"/>
      <right/>
      <top style="thin"/>
      <bottom style="thin"/>
      <diagonal/>
    </border>
    <border diagonalUp="false" diagonalDown="false">
      <left style="thin"/>
      <right/>
      <top style="thin"/>
      <bottom style="medium"/>
      <diagonal/>
    </border>
  </borders>
  <cellStyleXfs count="28">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22" fillId="0" borderId="0" applyFont="true" applyBorder="false" applyAlignment="true" applyProtection="false">
      <alignment horizontal="general"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2" borderId="1" applyFont="true" applyBorder="true" applyAlignment="true" applyProtection="false">
      <alignment horizontal="general" vertical="bottom" textRotation="0" wrapText="false" indent="0" shrinkToFit="false"/>
    </xf>
    <xf numFmtId="164" fontId="19" fillId="3" borderId="0" applyFont="true" applyBorder="false" applyAlignment="true" applyProtection="false">
      <alignment horizontal="general" vertical="bottom" textRotation="0" wrapText="false" indent="0" shrinkToFit="false"/>
    </xf>
    <xf numFmtId="164" fontId="20" fillId="4" borderId="2" applyFont="true" applyBorder="true" applyAlignment="true" applyProtection="false">
      <alignment horizontal="general" vertical="bottom" textRotation="0" wrapText="false" indent="0" shrinkToFit="false"/>
    </xf>
    <xf numFmtId="164" fontId="29" fillId="5" borderId="2" applyFont="true" applyBorder="true" applyAlignment="true" applyProtection="false">
      <alignment horizontal="general" vertical="bottom" textRotation="0" wrapText="false" indent="0" shrinkToFit="false"/>
    </xf>
    <xf numFmtId="164" fontId="30" fillId="5" borderId="3" applyFont="true" applyBorder="true" applyAlignment="true" applyProtection="false">
      <alignment horizontal="general" vertical="bottom" textRotation="0" wrapText="false" indent="0" shrinkToFit="false"/>
    </xf>
  </cellStyleXfs>
  <cellXfs count="28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6" borderId="4" xfId="0" applyFont="true" applyBorder="true" applyAlignment="false" applyProtection="false">
      <alignment horizontal="general" vertical="bottom" textRotation="0" wrapText="false" indent="0" shrinkToFit="false"/>
      <protection locked="true" hidden="false"/>
    </xf>
    <xf numFmtId="164" fontId="0" fillId="7" borderId="4" xfId="0" applyFont="true" applyBorder="true" applyAlignment="false" applyProtection="false">
      <alignment horizontal="general" vertical="bottom" textRotation="0" wrapText="false" indent="0" shrinkToFit="false"/>
      <protection locked="true" hidden="false"/>
    </xf>
    <xf numFmtId="164" fontId="0" fillId="7" borderId="4" xfId="0" applyFont="true" applyBorder="true" applyAlignment="true" applyProtection="false">
      <alignment horizontal="center" vertical="bottom" textRotation="0" wrapText="false" indent="0" shrinkToFit="false"/>
      <protection locked="true" hidden="false"/>
    </xf>
    <xf numFmtId="164" fontId="0" fillId="0" borderId="4" xfId="0" applyFont="true" applyBorder="true" applyAlignment="false" applyProtection="false">
      <alignment horizontal="general" vertical="bottom" textRotation="0" wrapText="false" indent="0" shrinkToFit="false"/>
      <protection locked="true" hidden="false"/>
    </xf>
    <xf numFmtId="164" fontId="0" fillId="0" borderId="4" xfId="0" applyFont="true" applyBorder="true" applyAlignment="true" applyProtection="false">
      <alignment horizontal="center" vertical="bottom" textRotation="0" wrapText="false" indent="0" shrinkToFit="false"/>
      <protection locked="true" hidden="false"/>
    </xf>
    <xf numFmtId="164" fontId="0" fillId="7" borderId="4" xfId="0" applyFont="true" applyBorder="true" applyAlignment="true" applyProtection="false">
      <alignment horizontal="left" vertical="center" textRotation="0" wrapText="false" indent="0" shrinkToFit="false"/>
      <protection locked="true" hidden="false"/>
    </xf>
    <xf numFmtId="164" fontId="0" fillId="7" borderId="4" xfId="0" applyFont="true" applyBorder="true" applyAlignment="true" applyProtection="false">
      <alignment horizontal="center" vertical="center" textRotation="0" wrapText="false" indent="0" shrinkToFit="false"/>
      <protection locked="true" hidden="false"/>
    </xf>
    <xf numFmtId="164" fontId="0" fillId="7" borderId="4" xfId="0" applyFont="true" applyBorder="true" applyAlignment="true" applyProtection="false">
      <alignment horizontal="left" vertical="center" textRotation="0" wrapText="true" indent="0" shrinkToFit="false"/>
      <protection locked="true" hidden="false"/>
    </xf>
    <xf numFmtId="164" fontId="0" fillId="7" borderId="4" xfId="0" applyFont="true" applyBorder="true" applyAlignment="true" applyProtection="false">
      <alignment horizontal="general" vertical="bottom" textRotation="0" wrapText="true" indent="0" shrinkToFit="false"/>
      <protection locked="true" hidden="false"/>
    </xf>
    <xf numFmtId="164" fontId="4" fillId="0" borderId="4" xfId="0" applyFont="true" applyBorder="true" applyAlignment="true" applyProtection="false">
      <alignment horizontal="center" vertical="bottom" textRotation="0" wrapText="fals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4" fillId="7" borderId="4"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0" fillId="8" borderId="0" xfId="0" applyFont="fals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false">
      <alignment horizontal="center" vertical="center" textRotation="0" wrapText="true" indent="0" shrinkToFit="false"/>
      <protection locked="true" hidden="false"/>
    </xf>
    <xf numFmtId="164" fontId="0" fillId="9" borderId="0" xfId="0" applyFont="false" applyBorder="false" applyAlignment="true" applyProtection="false">
      <alignment horizontal="general" vertical="bottom" textRotation="0" wrapText="true" indent="0" shrinkToFit="false"/>
      <protection locked="true" hidden="false"/>
    </xf>
    <xf numFmtId="164" fontId="0" fillId="10" borderId="0" xfId="0" applyFont="false" applyBorder="false" applyAlignment="true" applyProtection="false">
      <alignment horizontal="general" vertical="bottom" textRotation="0" wrapText="true" indent="0" shrinkToFit="false"/>
      <protection locked="true" hidden="false"/>
    </xf>
    <xf numFmtId="164" fontId="0" fillId="11" borderId="0" xfId="0" applyFont="false" applyBorder="false" applyAlignment="false" applyProtection="false">
      <alignment horizontal="general" vertical="bottom" textRotation="0" wrapText="false" indent="0" shrinkToFit="false"/>
      <protection locked="true" hidden="false"/>
    </xf>
    <xf numFmtId="164" fontId="0" fillId="12" borderId="0" xfId="0" applyFont="false" applyBorder="false" applyAlignment="false" applyProtection="false">
      <alignment horizontal="general" vertical="bottom" textRotation="0" wrapText="false" indent="0" shrinkToFit="false"/>
      <protection locked="true" hidden="false"/>
    </xf>
    <xf numFmtId="164" fontId="0" fillId="13" borderId="0" xfId="0" applyFont="false" applyBorder="false" applyAlignment="false" applyProtection="false">
      <alignment horizontal="general" vertical="bottom" textRotation="0" wrapText="false" indent="0" shrinkToFit="false"/>
      <protection locked="true" hidden="false"/>
    </xf>
    <xf numFmtId="164" fontId="0" fillId="14"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15" fillId="0" borderId="0" xfId="0" applyFont="true" applyBorder="false" applyAlignment="true" applyProtection="false">
      <alignment horizontal="general" vertical="bottom" textRotation="0" wrapText="true" indent="0" shrinkToFit="false"/>
      <protection locked="true" hidden="false"/>
    </xf>
    <xf numFmtId="164" fontId="4" fillId="15" borderId="5"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4" fontId="4" fillId="16" borderId="5" xfId="0" applyFont="true" applyBorder="true" applyAlignment="true" applyProtection="false">
      <alignment horizontal="center" vertical="center" textRotation="0" wrapText="false" indent="0" shrinkToFit="false"/>
      <protection locked="true" hidden="false"/>
    </xf>
    <xf numFmtId="164" fontId="15" fillId="7" borderId="4" xfId="0" applyFont="true" applyBorder="true" applyAlignment="true" applyProtection="false">
      <alignment horizontal="center" vertical="center" textRotation="0" wrapText="false" indent="0" shrinkToFit="false"/>
      <protection locked="true" hidden="false"/>
    </xf>
    <xf numFmtId="164" fontId="15" fillId="7" borderId="4" xfId="0" applyFont="true" applyBorder="true" applyAlignment="true" applyProtection="false">
      <alignment horizontal="center" vertical="center" textRotation="0" wrapText="true" indent="0" shrinkToFit="false"/>
      <protection locked="true" hidden="false"/>
    </xf>
    <xf numFmtId="164" fontId="0" fillId="0" borderId="4" xfId="0" applyFont="true" applyBorder="true" applyAlignment="true" applyProtection="false">
      <alignment horizontal="left" vertical="bottom" textRotation="0" wrapText="false" indent="0" shrinkToFit="false"/>
      <protection locked="true" hidden="false"/>
    </xf>
    <xf numFmtId="164" fontId="0" fillId="10" borderId="4" xfId="0" applyFont="false" applyBorder="true" applyAlignment="false" applyProtection="false">
      <alignment horizontal="general" vertical="bottom" textRotation="0" wrapText="false" indent="0" shrinkToFit="false"/>
      <protection locked="true" hidden="false"/>
    </xf>
    <xf numFmtId="166" fontId="0" fillId="11" borderId="4" xfId="0" applyFont="false" applyBorder="true" applyAlignment="false" applyProtection="false">
      <alignment horizontal="general" vertical="bottom" textRotation="0" wrapText="false" indent="0" shrinkToFit="false"/>
      <protection locked="true" hidden="false"/>
    </xf>
    <xf numFmtId="164" fontId="0" fillId="9" borderId="4" xfId="0" applyFont="false" applyBorder="true" applyAlignment="false" applyProtection="false">
      <alignment horizontal="general" vertical="bottom" textRotation="0" wrapText="false" indent="0" shrinkToFit="false"/>
      <protection locked="true" hidden="false"/>
    </xf>
    <xf numFmtId="166" fontId="0" fillId="0" borderId="4" xfId="0" applyFont="false" applyBorder="true" applyAlignment="false" applyProtection="false">
      <alignment horizontal="general" vertical="bottom" textRotation="0" wrapText="false" indent="0" shrinkToFit="false"/>
      <protection locked="true" hidden="false"/>
    </xf>
    <xf numFmtId="166" fontId="0" fillId="9" borderId="4" xfId="0" applyFont="false" applyBorder="true" applyAlignment="false" applyProtection="false">
      <alignment horizontal="general" vertical="bottom" textRotation="0" wrapText="false" indent="0" shrinkToFit="false"/>
      <protection locked="true" hidden="false"/>
    </xf>
    <xf numFmtId="166" fontId="0" fillId="10" borderId="4" xfId="0" applyFont="false" applyBorder="true" applyAlignment="false" applyProtection="false">
      <alignment horizontal="general" vertical="bottom" textRotation="0" wrapText="false" indent="0" shrinkToFit="false"/>
      <protection locked="true" hidden="false"/>
    </xf>
    <xf numFmtId="164" fontId="0" fillId="0" borderId="4" xfId="0" applyFont="true" applyBorder="true" applyAlignment="true" applyProtection="false">
      <alignment horizontal="left" vertical="center" textRotation="0" wrapText="false" indent="0" shrinkToFit="false"/>
      <protection locked="true" hidden="false"/>
    </xf>
    <xf numFmtId="167" fontId="0" fillId="8" borderId="4" xfId="0" applyFont="false" applyBorder="true" applyAlignment="false" applyProtection="false">
      <alignment horizontal="general" vertical="bottom" textRotation="0" wrapText="false" indent="0" shrinkToFit="false"/>
      <protection locked="true" hidden="false"/>
    </xf>
    <xf numFmtId="167" fontId="0" fillId="11" borderId="4" xfId="0" applyFont="false" applyBorder="true" applyAlignment="false" applyProtection="false">
      <alignment horizontal="general" vertical="bottom" textRotation="0" wrapText="false" indent="0" shrinkToFit="false"/>
      <protection locked="true" hidden="false"/>
    </xf>
    <xf numFmtId="167" fontId="0" fillId="10" borderId="4" xfId="21" applyFont="true" applyBorder="true" applyAlignment="false" applyProtection="false">
      <alignment horizontal="general" vertical="bottom" textRotation="0" wrapText="false" indent="0" shrinkToFit="false"/>
      <protection locked="true" hidden="false"/>
    </xf>
    <xf numFmtId="164" fontId="0" fillId="0" borderId="4" xfId="21" applyFont="true" applyBorder="true" applyAlignment="false" applyProtection="false">
      <alignment horizontal="general" vertical="bottom" textRotation="0" wrapText="false" indent="0" shrinkToFit="false"/>
      <protection locked="true" hidden="false"/>
    </xf>
    <xf numFmtId="167" fontId="0" fillId="13" borderId="4" xfId="0" applyFont="false" applyBorder="true" applyAlignment="false" applyProtection="false">
      <alignment horizontal="general" vertical="bottom" textRotation="0" wrapText="false" indent="0" shrinkToFit="false"/>
      <protection locked="true" hidden="false"/>
    </xf>
    <xf numFmtId="164" fontId="4" fillId="2" borderId="1" xfId="23" applyFont="true" applyBorder="false" applyAlignment="false" applyProtection="true">
      <alignment horizontal="general" vertical="bottom" textRotation="0" wrapText="false" indent="0" shrinkToFit="false"/>
      <protection locked="true" hidden="false"/>
    </xf>
    <xf numFmtId="164" fontId="15" fillId="17" borderId="6" xfId="0" applyFont="true" applyBorder="true" applyAlignment="false" applyProtection="false">
      <alignment horizontal="general" vertical="bottom" textRotation="0" wrapText="false" indent="0" shrinkToFit="false"/>
      <protection locked="true" hidden="false"/>
    </xf>
    <xf numFmtId="164" fontId="0" fillId="0" borderId="6" xfId="0" applyFont="true" applyBorder="true" applyAlignment="false" applyProtection="false">
      <alignment horizontal="general" vertical="bottom" textRotation="0" wrapText="false" indent="0" shrinkToFit="false"/>
      <protection locked="true" hidden="false"/>
    </xf>
    <xf numFmtId="164" fontId="18" fillId="0" borderId="0" xfId="0" applyFont="true" applyBorder="false" applyAlignment="true" applyProtection="false">
      <alignment horizontal="center" vertical="center" textRotation="0" wrapText="true" indent="0" shrinkToFit="false"/>
      <protection locked="true" hidden="false"/>
    </xf>
    <xf numFmtId="164" fontId="0" fillId="0" borderId="7" xfId="0" applyFont="true" applyBorder="true" applyAlignment="true" applyProtection="false">
      <alignment horizontal="center" vertical="center" textRotation="0" wrapText="true" indent="0" shrinkToFit="false"/>
      <protection locked="true" hidden="false"/>
    </xf>
    <xf numFmtId="164" fontId="15" fillId="7" borderId="4" xfId="0" applyFont="true" applyBorder="true" applyAlignment="true" applyProtection="false">
      <alignment horizontal="general" vertical="center" textRotation="0" wrapText="false" indent="0" shrinkToFit="false"/>
      <protection locked="true" hidden="false"/>
    </xf>
    <xf numFmtId="164" fontId="0" fillId="11" borderId="4" xfId="0" applyFont="false" applyBorder="true" applyAlignment="true" applyProtection="false">
      <alignment horizontal="center" vertical="bottom" textRotation="0" wrapText="false" indent="0" shrinkToFit="false"/>
      <protection locked="true" hidden="false"/>
    </xf>
    <xf numFmtId="167" fontId="0" fillId="13" borderId="6" xfId="22" applyFont="true" applyBorder="true" applyAlignment="false" applyProtection="false">
      <alignment horizontal="general" vertical="bottom" textRotation="0" wrapText="false" indent="0" shrinkToFit="false"/>
      <protection locked="true" hidden="false"/>
    </xf>
    <xf numFmtId="164" fontId="0" fillId="9" borderId="4" xfId="0" applyFont="false" applyBorder="true" applyAlignment="true" applyProtection="false">
      <alignment horizontal="center" vertical="bottom" textRotation="0" wrapText="false" indent="0" shrinkToFit="false"/>
      <protection locked="true" hidden="false"/>
    </xf>
    <xf numFmtId="164" fontId="0" fillId="13" borderId="4"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10" borderId="6" xfId="22" applyFont="true" applyBorder="true" applyAlignment="false" applyProtection="false">
      <alignment horizontal="general" vertical="bottom" textRotation="0" wrapText="false" indent="0" shrinkToFit="false"/>
      <protection locked="true" hidden="false"/>
    </xf>
    <xf numFmtId="164" fontId="0" fillId="0" borderId="8"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true" indent="0" shrinkToFit="false"/>
      <protection locked="true" hidden="false"/>
    </xf>
    <xf numFmtId="164" fontId="0" fillId="0" borderId="10" xfId="0" applyFont="true" applyBorder="true" applyAlignment="true" applyProtection="false">
      <alignment horizontal="center" vertical="center" textRotation="0" wrapText="false" indent="0" shrinkToFit="false"/>
      <protection locked="true" hidden="false"/>
    </xf>
    <xf numFmtId="164" fontId="0" fillId="0" borderId="11" xfId="0" applyFont="false" applyBorder="true" applyAlignment="true" applyProtection="false">
      <alignment horizontal="center" vertical="bottom" textRotation="0" wrapText="false" indent="0" shrinkToFit="false"/>
      <protection locked="true" hidden="false"/>
    </xf>
    <xf numFmtId="164" fontId="19" fillId="3" borderId="8" xfId="24" applyFont="true" applyBorder="true" applyAlignment="false" applyProtection="true">
      <alignment horizontal="general" vertical="bottom" textRotation="0" wrapText="false" indent="0" shrinkToFit="false"/>
      <protection locked="tru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4" fontId="15" fillId="0" borderId="10" xfId="0" applyFont="true" applyBorder="true" applyAlignment="false" applyProtection="false">
      <alignment horizontal="general" vertical="bottom" textRotation="0" wrapText="false" indent="0" shrinkToFit="false"/>
      <protection locked="true" hidden="false"/>
    </xf>
    <xf numFmtId="164" fontId="20" fillId="4" borderId="11" xfId="25" applyFont="false" applyBorder="true" applyAlignment="false" applyProtection="true">
      <alignment horizontal="general" vertical="bottom" textRotation="0" wrapText="fals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0" borderId="13" xfId="0" applyFont="false" applyBorder="true" applyAlignment="true" applyProtection="false">
      <alignment horizontal="center" vertical="bottom" textRotation="0" wrapText="false" indent="0" shrinkToFit="false"/>
      <protection locked="true" hidden="false"/>
    </xf>
    <xf numFmtId="164" fontId="15" fillId="0" borderId="12" xfId="0" applyFont="true" applyBorder="true" applyAlignment="false" applyProtection="false">
      <alignment horizontal="general" vertical="bottom" textRotation="0" wrapText="false" indent="0" shrinkToFit="false"/>
      <protection locked="true" hidden="false"/>
    </xf>
    <xf numFmtId="164" fontId="20" fillId="4" borderId="13" xfId="25" applyFont="false" applyBorder="true" applyAlignment="false" applyProtection="true">
      <alignment horizontal="general" vertical="bottom" textRotation="0" wrapText="false" indent="0" shrinkToFit="false"/>
      <protection locked="true" hidden="false"/>
    </xf>
    <xf numFmtId="164" fontId="20" fillId="11" borderId="13" xfId="25" applyFont="false" applyBorder="true" applyAlignment="false" applyProtection="tru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true" indent="0" shrinkToFit="false"/>
      <protection locked="true" hidden="false"/>
    </xf>
    <xf numFmtId="164" fontId="15" fillId="7" borderId="14" xfId="0" applyFont="true" applyBorder="true" applyAlignment="true" applyProtection="false">
      <alignment horizontal="center" vertical="center" textRotation="0" wrapText="false" indent="0" shrinkToFit="false"/>
      <protection locked="true" hidden="false"/>
    </xf>
    <xf numFmtId="164" fontId="0" fillId="0" borderId="4" xfId="0" applyFont="true" applyBorder="true" applyAlignment="true" applyProtection="false">
      <alignment horizontal="center" vertical="center" textRotation="0" wrapText="false" indent="0" shrinkToFit="false"/>
      <protection locked="true" hidden="false"/>
    </xf>
    <xf numFmtId="164" fontId="0" fillId="10" borderId="4" xfId="0" applyFont="false" applyBorder="true" applyAlignment="true" applyProtection="false">
      <alignment horizontal="center" vertical="center" textRotation="0" wrapText="false" indent="0" shrinkToFit="false"/>
      <protection locked="true" hidden="false"/>
    </xf>
    <xf numFmtId="164" fontId="0" fillId="10" borderId="14" xfId="0" applyFont="false" applyBorder="true" applyAlignment="true" applyProtection="false">
      <alignment horizontal="center" vertical="center" textRotation="0" wrapText="false" indent="0" shrinkToFit="false"/>
      <protection locked="true" hidden="false"/>
    </xf>
    <xf numFmtId="166" fontId="0" fillId="10" borderId="14" xfId="0" applyFont="false" applyBorder="true" applyAlignment="false" applyProtection="false">
      <alignment horizontal="general" vertical="bottom" textRotation="0" wrapText="false" indent="0" shrinkToFit="false"/>
      <protection locked="true" hidden="false"/>
    </xf>
    <xf numFmtId="164" fontId="0" fillId="9" borderId="4" xfId="0" applyFont="false" applyBorder="true" applyAlignment="true" applyProtection="false">
      <alignment horizontal="center" vertical="center" textRotation="0" wrapText="false" indent="0" shrinkToFit="false"/>
      <protection locked="true" hidden="false"/>
    </xf>
    <xf numFmtId="168" fontId="0" fillId="10" borderId="4" xfId="0" applyFont="false" applyBorder="true" applyAlignment="true" applyProtection="false">
      <alignment horizontal="center" vertical="center" textRotation="0" wrapText="false" indent="0" shrinkToFit="false"/>
      <protection locked="true" hidden="false"/>
    </xf>
    <xf numFmtId="164" fontId="0" fillId="10" borderId="15" xfId="0" applyFont="false" applyBorder="true" applyAlignment="true" applyProtection="false">
      <alignment horizontal="center" vertical="center" textRotation="0" wrapText="false" indent="0" shrinkToFit="false"/>
      <protection locked="true" hidden="false"/>
    </xf>
    <xf numFmtId="164" fontId="0" fillId="10" borderId="16" xfId="0" applyFont="false" applyBorder="true" applyAlignment="true" applyProtection="false">
      <alignment horizontal="center" vertical="center" textRotation="0" wrapText="false" indent="0" shrinkToFit="false"/>
      <protection locked="true" hidden="false"/>
    </xf>
    <xf numFmtId="166" fontId="0" fillId="10" borderId="16" xfId="0" applyFont="false" applyBorder="true" applyAlignment="false" applyProtection="false">
      <alignment horizontal="general" vertical="bottom" textRotation="0" wrapText="false" indent="0" shrinkToFit="false"/>
      <protection locked="true" hidden="false"/>
    </xf>
    <xf numFmtId="168" fontId="0" fillId="11" borderId="15" xfId="0" applyFont="false" applyBorder="true" applyAlignment="true" applyProtection="false">
      <alignment horizontal="center" vertical="center" textRotation="0" wrapText="false" indent="0" shrinkToFit="false"/>
      <protection locked="true" hidden="false"/>
    </xf>
    <xf numFmtId="164" fontId="0" fillId="18" borderId="15" xfId="0" applyFont="false" applyBorder="true" applyAlignment="true" applyProtection="false">
      <alignment horizontal="center" vertical="center" textRotation="0" wrapText="false" indent="0" shrinkToFit="false"/>
      <protection locked="true" hidden="false"/>
    </xf>
    <xf numFmtId="164" fontId="0" fillId="13" borderId="16" xfId="0" applyFont="false" applyBorder="true" applyAlignment="true" applyProtection="false">
      <alignment horizontal="center" vertical="center" textRotation="0" wrapText="false" indent="0" shrinkToFit="false"/>
      <protection locked="true" hidden="false"/>
    </xf>
    <xf numFmtId="164" fontId="0" fillId="11" borderId="17" xfId="0" applyFont="false" applyBorder="true" applyAlignment="true" applyProtection="false">
      <alignment horizontal="center" vertical="center" textRotation="0" wrapText="false" indent="0" shrinkToFit="false"/>
      <protection locked="true" hidden="false"/>
    </xf>
    <xf numFmtId="164" fontId="0" fillId="10" borderId="18" xfId="0" applyFont="false" applyBorder="true" applyAlignment="true" applyProtection="false">
      <alignment horizontal="center" vertical="center" textRotation="0" wrapText="false" indent="0" shrinkToFit="false"/>
      <protection locked="true" hidden="false"/>
    </xf>
    <xf numFmtId="164" fontId="0" fillId="13" borderId="18" xfId="0" applyFont="false" applyBorder="true" applyAlignment="true" applyProtection="false">
      <alignment horizontal="center" vertical="center" textRotation="0" wrapText="false" indent="0" shrinkToFit="false"/>
      <protection locked="true" hidden="false"/>
    </xf>
    <xf numFmtId="168" fontId="0" fillId="11" borderId="17" xfId="0" applyFont="false" applyBorder="true" applyAlignment="true" applyProtection="false">
      <alignment horizontal="center" vertical="center" textRotation="0" wrapText="false" indent="0" shrinkToFit="false"/>
      <protection locked="true" hidden="false"/>
    </xf>
    <xf numFmtId="164" fontId="0" fillId="11" borderId="19" xfId="0" applyFont="false" applyBorder="true" applyAlignment="false" applyProtection="false">
      <alignment horizontal="general" vertical="bottom" textRotation="0" wrapText="false" indent="0" shrinkToFit="false"/>
      <protection locked="true" hidden="false"/>
    </xf>
    <xf numFmtId="166" fontId="0" fillId="11" borderId="19" xfId="0" applyFont="false" applyBorder="true" applyAlignment="false" applyProtection="false">
      <alignment horizontal="general" vertical="bottom" textRotation="0" wrapText="false" indent="0" shrinkToFit="false"/>
      <protection locked="true" hidden="false"/>
    </xf>
    <xf numFmtId="164" fontId="0" fillId="0" borderId="19" xfId="0" applyFont="true" applyBorder="true" applyAlignment="true" applyProtection="false">
      <alignment horizontal="center" vertical="center" textRotation="0" wrapText="false" indent="0" shrinkToFit="false"/>
      <protection locked="true" hidden="false"/>
    </xf>
    <xf numFmtId="164" fontId="0" fillId="11" borderId="19" xfId="0" applyFont="false" applyBorder="true" applyAlignment="true" applyProtection="false">
      <alignment horizontal="center" vertical="center" textRotation="0" wrapText="false" indent="0" shrinkToFit="false"/>
      <protection locked="true" hidden="false"/>
    </xf>
    <xf numFmtId="164" fontId="0" fillId="10" borderId="20" xfId="0" applyFont="false" applyBorder="true" applyAlignment="true" applyProtection="false">
      <alignment horizontal="center" vertical="center" textRotation="0" wrapText="false" indent="0" shrinkToFit="false"/>
      <protection locked="true" hidden="false"/>
    </xf>
    <xf numFmtId="164" fontId="0" fillId="13" borderId="20" xfId="0" applyFont="false" applyBorder="true" applyAlignment="true" applyProtection="false">
      <alignment horizontal="center" vertical="center" textRotation="0" wrapText="false" indent="0" shrinkToFit="false"/>
      <protection locked="true" hidden="false"/>
    </xf>
    <xf numFmtId="168" fontId="0" fillId="11" borderId="19" xfId="0" applyFont="false" applyBorder="true" applyAlignment="true" applyProtection="false">
      <alignment horizontal="center" vertical="center" textRotation="0" wrapText="false" indent="0" shrinkToFit="false"/>
      <protection locked="true" hidden="false"/>
    </xf>
    <xf numFmtId="164" fontId="0" fillId="11" borderId="20" xfId="0" applyFont="false" applyBorder="true" applyAlignment="true" applyProtection="false">
      <alignment horizontal="center" vertical="center" textRotation="0" wrapText="false" indent="0" shrinkToFit="false"/>
      <protection locked="true" hidden="false"/>
    </xf>
    <xf numFmtId="164" fontId="0" fillId="10" borderId="19" xfId="0" applyFont="false" applyBorder="true" applyAlignment="false" applyProtection="false">
      <alignment horizontal="general" vertical="bottom" textRotation="0" wrapText="false" indent="0" shrinkToFit="false"/>
      <protection locked="true" hidden="false"/>
    </xf>
    <xf numFmtId="166" fontId="0" fillId="10" borderId="19" xfId="0" applyFont="false" applyBorder="true" applyAlignment="false" applyProtection="false">
      <alignment horizontal="general" vertical="bottom" textRotation="0" wrapText="false" indent="0" shrinkToFit="false"/>
      <protection locked="true" hidden="false"/>
    </xf>
    <xf numFmtId="166" fontId="0" fillId="0" borderId="19" xfId="0" applyFont="false" applyBorder="true" applyAlignment="false" applyProtection="false">
      <alignment horizontal="general" vertical="bottom" textRotation="0" wrapText="false" indent="0" shrinkToFit="false"/>
      <protection locked="true" hidden="false"/>
    </xf>
    <xf numFmtId="164" fontId="0" fillId="0" borderId="16" xfId="0" applyFont="false" applyBorder="true" applyAlignment="true" applyProtection="false">
      <alignment horizontal="center" vertical="center" textRotation="0" wrapText="false" indent="0" shrinkToFit="false"/>
      <protection locked="true" hidden="false"/>
    </xf>
    <xf numFmtId="164" fontId="0" fillId="0" borderId="14" xfId="0" applyFont="false" applyBorder="true" applyAlignment="true" applyProtection="false">
      <alignment horizontal="center" vertical="center" textRotation="0" wrapText="false" indent="0" shrinkToFit="false"/>
      <protection locked="true" hidden="false"/>
    </xf>
    <xf numFmtId="164" fontId="0" fillId="10" borderId="19" xfId="0" applyFont="false" applyBorder="true" applyAlignment="true" applyProtection="false">
      <alignment horizontal="center"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false" indent="0" shrinkToFit="false"/>
      <protection locked="true" hidden="false"/>
    </xf>
    <xf numFmtId="164" fontId="0" fillId="0" borderId="18" xfId="0" applyFont="false" applyBorder="true" applyAlignment="true" applyProtection="false">
      <alignment horizontal="center" vertical="center" textRotation="0" wrapText="false" indent="0" shrinkToFit="false"/>
      <protection locked="true" hidden="false"/>
    </xf>
    <xf numFmtId="164" fontId="0" fillId="0" borderId="20" xfId="0" applyFont="false" applyBorder="true" applyAlignment="true" applyProtection="false">
      <alignment horizontal="center" vertical="center" textRotation="0" wrapText="false" indent="0" shrinkToFit="false"/>
      <protection locked="true" hidden="false"/>
    </xf>
    <xf numFmtId="164" fontId="0" fillId="14" borderId="19" xfId="0" applyFont="true" applyBorder="true" applyAlignment="true" applyProtection="false">
      <alignment horizontal="center" vertical="center" textRotation="0" wrapText="false" indent="0" shrinkToFit="false"/>
      <protection locked="true" hidden="false"/>
    </xf>
    <xf numFmtId="169" fontId="0" fillId="10" borderId="16" xfId="0" applyFont="false" applyBorder="true" applyAlignment="true" applyProtection="false">
      <alignment horizontal="center" vertical="center" textRotation="0" wrapText="false" indent="0" shrinkToFit="false"/>
      <protection locked="true" hidden="false"/>
    </xf>
    <xf numFmtId="169" fontId="0" fillId="13" borderId="16" xfId="0" applyFont="false" applyBorder="true" applyAlignment="true" applyProtection="false">
      <alignment horizontal="center" vertical="center" textRotation="0" wrapText="false" indent="0" shrinkToFit="false"/>
      <protection locked="true" hidden="false"/>
    </xf>
    <xf numFmtId="164" fontId="0" fillId="14" borderId="14" xfId="0" applyFont="false" applyBorder="true" applyAlignment="true" applyProtection="false">
      <alignment horizontal="center" vertical="center" textRotation="0" wrapText="false" indent="0" shrinkToFit="false"/>
      <protection locked="true" hidden="false"/>
    </xf>
    <xf numFmtId="166" fontId="0" fillId="14" borderId="14" xfId="0" applyFont="false" applyBorder="true" applyAlignment="false" applyProtection="false">
      <alignment horizontal="general" vertical="bottom" textRotation="0" wrapText="false" indent="0" shrinkToFit="false"/>
      <protection locked="true" hidden="false"/>
    </xf>
    <xf numFmtId="164" fontId="0" fillId="14" borderId="20" xfId="0" applyFont="false" applyBorder="true" applyAlignment="false" applyProtection="false">
      <alignment horizontal="general" vertical="bottom" textRotation="0" wrapText="false" indent="0" shrinkToFit="false"/>
      <protection locked="true" hidden="false"/>
    </xf>
    <xf numFmtId="166" fontId="0" fillId="14" borderId="20" xfId="0" applyFont="false" applyBorder="true" applyAlignment="false" applyProtection="false">
      <alignment horizontal="general" vertical="bottom" textRotation="0" wrapText="false" indent="0" shrinkToFit="false"/>
      <protection locked="true" hidden="false"/>
    </xf>
    <xf numFmtId="164" fontId="0" fillId="14" borderId="14" xfId="0" applyFont="true" applyBorder="true" applyAlignment="false" applyProtection="false">
      <alignment horizontal="general" vertical="bottom" textRotation="0" wrapText="false" indent="0" shrinkToFit="false"/>
      <protection locked="true" hidden="false"/>
    </xf>
    <xf numFmtId="168" fontId="0" fillId="0" borderId="4" xfId="0" applyFont="false" applyBorder="tru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left"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false" indent="0" shrinkToFit="false"/>
      <protection locked="true" hidden="false"/>
    </xf>
    <xf numFmtId="164" fontId="0" fillId="0" borderId="13" xfId="0" applyFont="false" applyBorder="true" applyAlignment="true" applyProtection="false">
      <alignment horizontal="center" vertical="center" textRotation="0" wrapText="false" indent="0" shrinkToFit="false"/>
      <protection locked="true" hidden="false"/>
    </xf>
    <xf numFmtId="164" fontId="0" fillId="19" borderId="6" xfId="0" applyFont="true" applyBorder="true" applyAlignment="true" applyProtection="false">
      <alignment horizontal="center" vertical="center" textRotation="0" wrapText="false" indent="0" shrinkToFit="false"/>
      <protection locked="true" hidden="false"/>
    </xf>
    <xf numFmtId="164" fontId="0" fillId="19" borderId="6" xfId="0" applyFont="false" applyBorder="true" applyAlignment="true" applyProtection="false">
      <alignment horizontal="center" vertical="center" textRotation="0" wrapText="false" indent="0" shrinkToFit="false"/>
      <protection locked="true" hidden="false"/>
    </xf>
    <xf numFmtId="164" fontId="0" fillId="19" borderId="6" xfId="0" applyFont="true" applyBorder="true" applyAlignment="true" applyProtection="false">
      <alignment horizontal="center" vertical="center" textRotation="0" wrapText="true" indent="0" shrinkToFit="false"/>
      <protection locked="true" hidden="false"/>
    </xf>
    <xf numFmtId="164" fontId="0" fillId="19" borderId="21" xfId="0" applyFont="false" applyBorder="true" applyAlignment="true" applyProtection="false">
      <alignment horizontal="center" vertical="center" textRotation="0" wrapText="true" indent="0" shrinkToFit="false"/>
      <protection locked="true" hidden="false"/>
    </xf>
    <xf numFmtId="164" fontId="0" fillId="19" borderId="22" xfId="0" applyFont="false" applyBorder="true" applyAlignment="true" applyProtection="false">
      <alignment horizontal="center"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true" applyProtection="false">
      <alignment horizontal="center" vertical="bottom" textRotation="0" wrapText="false" indent="0" shrinkToFit="false"/>
      <protection locked="true" hidden="false"/>
    </xf>
    <xf numFmtId="164" fontId="22" fillId="0" borderId="6" xfId="20" applyFont="true" applyBorder="true" applyAlignment="true" applyProtection="true">
      <alignment horizontal="center" vertical="bottom" textRotation="0" wrapText="false" indent="0" shrinkToFit="false"/>
      <protection locked="true" hidden="false"/>
    </xf>
    <xf numFmtId="170" fontId="0" fillId="20" borderId="6" xfId="0" applyFont="false" applyBorder="true" applyAlignment="true" applyProtection="false">
      <alignment horizontal="center" vertical="bottom" textRotation="0" wrapText="false" indent="0" shrinkToFit="false"/>
      <protection locked="true" hidden="false"/>
    </xf>
    <xf numFmtId="164" fontId="0" fillId="0" borderId="15" xfId="0" applyFont="true" applyBorder="true" applyAlignment="false" applyProtection="false">
      <alignment horizontal="general" vertical="bottom" textRotation="0" wrapText="false" indent="0" shrinkToFit="false"/>
      <protection locked="true" hidden="false"/>
    </xf>
    <xf numFmtId="164" fontId="0" fillId="0" borderId="16" xfId="0" applyFont="true" applyBorder="true" applyAlignment="false" applyProtection="false">
      <alignment horizontal="general" vertical="bottom" textRotation="0" wrapText="false" indent="0" shrinkToFit="false"/>
      <protection locked="true" hidden="false"/>
    </xf>
    <xf numFmtId="164" fontId="0" fillId="11" borderId="16" xfId="0" applyFont="false" applyBorder="true" applyAlignment="true" applyProtection="false">
      <alignment horizontal="center" vertical="center" textRotation="0" wrapText="false" indent="0" shrinkToFit="false"/>
      <protection locked="true" hidden="false"/>
    </xf>
    <xf numFmtId="166" fontId="0" fillId="11" borderId="16" xfId="0" applyFont="false" applyBorder="true" applyAlignment="true" applyProtection="false">
      <alignment horizontal="center" vertical="center" textRotation="0" wrapText="false" indent="0" shrinkToFit="false"/>
      <protection locked="true" hidden="false"/>
    </xf>
    <xf numFmtId="164" fontId="0" fillId="9" borderId="16" xfId="0" applyFont="false" applyBorder="true" applyAlignment="true" applyProtection="false">
      <alignment horizontal="center" vertical="center" textRotation="0" wrapText="false" indent="0" shrinkToFit="false"/>
      <protection locked="true" hidden="false"/>
    </xf>
    <xf numFmtId="166" fontId="0" fillId="0" borderId="4" xfId="0" applyFont="false" applyBorder="true" applyAlignment="true" applyProtection="false">
      <alignment horizontal="center" vertical="center" textRotation="0" wrapText="false" indent="0" shrinkToFit="false"/>
      <protection locked="true" hidden="false"/>
    </xf>
    <xf numFmtId="164" fontId="0" fillId="11" borderId="4" xfId="0" applyFont="false" applyBorder="true" applyAlignment="true" applyProtection="false">
      <alignment horizontal="center" vertical="center" textRotation="0" wrapText="false" indent="0" shrinkToFit="false"/>
      <protection locked="true" hidden="false"/>
    </xf>
    <xf numFmtId="166" fontId="0" fillId="11" borderId="4" xfId="0" applyFont="false" applyBorder="true" applyAlignment="true" applyProtection="false">
      <alignment horizontal="center" vertical="center" textRotation="0" wrapText="false" indent="0" shrinkToFit="false"/>
      <protection locked="true" hidden="false"/>
    </xf>
    <xf numFmtId="166" fontId="0" fillId="0" borderId="16" xfId="0" applyFont="false" applyBorder="true" applyAlignment="true" applyProtection="false">
      <alignment horizontal="center" vertical="center" textRotation="0" wrapText="false" indent="0" shrinkToFit="false"/>
      <protection locked="true" hidden="false"/>
    </xf>
    <xf numFmtId="166" fontId="0" fillId="10" borderId="16" xfId="0" applyFont="false" applyBorder="true" applyAlignment="true" applyProtection="false">
      <alignment horizontal="center" vertical="center" textRotation="0" wrapText="false" indent="0" shrinkToFit="false"/>
      <protection locked="true" hidden="false"/>
    </xf>
    <xf numFmtId="166" fontId="0" fillId="14" borderId="4" xfId="0" applyFont="false" applyBorder="true" applyAlignment="true" applyProtection="false">
      <alignment horizontal="center" vertical="center" textRotation="0" wrapText="false" indent="0" shrinkToFit="false"/>
      <protection locked="true" hidden="false"/>
    </xf>
    <xf numFmtId="164" fontId="0" fillId="8" borderId="16" xfId="0" applyFont="false" applyBorder="true" applyAlignment="true" applyProtection="false">
      <alignment horizontal="center" vertical="center" textRotation="0" wrapText="false" indent="0" shrinkToFit="false"/>
      <protection locked="true" hidden="false"/>
    </xf>
    <xf numFmtId="166" fontId="0" fillId="14" borderId="15" xfId="0" applyFont="false" applyBorder="tru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9" fontId="0" fillId="10" borderId="6" xfId="0" applyFont="false" applyBorder="true" applyAlignment="true" applyProtection="false">
      <alignment horizontal="general" vertical="bottom" textRotation="0" wrapText="true" indent="0" shrinkToFit="false"/>
      <protection locked="true" hidden="false"/>
    </xf>
    <xf numFmtId="169" fontId="0" fillId="10" borderId="23" xfId="0" applyFont="false" applyBorder="true" applyAlignment="true" applyProtection="false">
      <alignment horizontal="general" vertical="bottom" textRotation="0" wrapText="true" indent="0" shrinkToFit="false"/>
      <protection locked="true" hidden="false"/>
    </xf>
    <xf numFmtId="164" fontId="15" fillId="19" borderId="4" xfId="0" applyFont="true" applyBorder="true" applyAlignment="true" applyProtection="false">
      <alignment horizontal="center" vertical="center" textRotation="0" wrapText="false" indent="0" shrinkToFit="false"/>
      <protection locked="true" hidden="false"/>
    </xf>
    <xf numFmtId="169" fontId="0" fillId="19" borderId="4" xfId="0" applyFont="false" applyBorder="true" applyAlignment="false" applyProtection="false">
      <alignment horizontal="general" vertical="bottom" textRotation="0" wrapText="false" indent="0" shrinkToFit="false"/>
      <protection locked="true" hidden="false"/>
    </xf>
    <xf numFmtId="166" fontId="0" fillId="11" borderId="24" xfId="0" applyFont="false" applyBorder="true" applyAlignment="false" applyProtection="false">
      <alignment horizontal="general" vertical="bottom" textRotation="0" wrapText="false" indent="0" shrinkToFit="false"/>
      <protection locked="true" hidden="false"/>
    </xf>
    <xf numFmtId="169" fontId="0" fillId="8" borderId="23" xfId="0" applyFont="false" applyBorder="true" applyAlignment="true" applyProtection="false">
      <alignment horizontal="general" vertical="bottom" textRotation="0" wrapText="true" indent="0" shrinkToFit="false"/>
      <protection locked="true" hidden="false"/>
    </xf>
    <xf numFmtId="169" fontId="0" fillId="8" borderId="6" xfId="0" applyFont="false" applyBorder="true" applyAlignment="true" applyProtection="false">
      <alignment horizontal="general" vertical="bottom" textRotation="0" wrapText="true" indent="0" shrinkToFit="false"/>
      <protection locked="true" hidden="false"/>
    </xf>
    <xf numFmtId="166" fontId="0" fillId="10" borderId="24" xfId="0" applyFont="false" applyBorder="true" applyAlignment="false" applyProtection="false">
      <alignment horizontal="general" vertical="bottom" textRotation="0" wrapText="false" indent="0" shrinkToFit="false"/>
      <protection locked="true" hidden="false"/>
    </xf>
    <xf numFmtId="164" fontId="0" fillId="12" borderId="4" xfId="0" applyFont="false" applyBorder="true" applyAlignment="false" applyProtection="false">
      <alignment horizontal="general" vertical="bottom" textRotation="0" wrapText="false" indent="0" shrinkToFit="false"/>
      <protection locked="true" hidden="false"/>
    </xf>
    <xf numFmtId="166" fontId="0" fillId="12" borderId="24" xfId="0" applyFont="false" applyBorder="true" applyAlignment="false" applyProtection="false">
      <alignment horizontal="general" vertical="bottom" textRotation="0" wrapText="false" indent="0" shrinkToFit="false"/>
      <protection locked="true" hidden="false"/>
    </xf>
    <xf numFmtId="169" fontId="0" fillId="13" borderId="23" xfId="0" applyFont="true" applyBorder="true" applyAlignment="true" applyProtection="false">
      <alignment horizontal="general" vertical="bottom" textRotation="0" wrapText="true" indent="0" shrinkToFit="false"/>
      <protection locked="true" hidden="false"/>
    </xf>
    <xf numFmtId="169" fontId="0" fillId="13" borderId="6" xfId="0" applyFont="false" applyBorder="true" applyAlignment="true" applyProtection="false">
      <alignment horizontal="general" vertical="bottom" textRotation="0" wrapText="true" indent="0" shrinkToFit="false"/>
      <protection locked="true" hidden="false"/>
    </xf>
    <xf numFmtId="164" fontId="0" fillId="14" borderId="4" xfId="0" applyFont="false" applyBorder="true" applyAlignment="false" applyProtection="false">
      <alignment horizontal="general" vertical="bottom" textRotation="0" wrapText="false" indent="0" shrinkToFit="false"/>
      <protection locked="true" hidden="false"/>
    </xf>
    <xf numFmtId="166" fontId="0" fillId="14" borderId="25" xfId="0" applyFont="false" applyBorder="true" applyAlignment="false" applyProtection="false">
      <alignment horizontal="general" vertical="bottom" textRotation="0" wrapText="false" indent="0" shrinkToFit="false"/>
      <protection locked="true" hidden="false"/>
    </xf>
    <xf numFmtId="169" fontId="0" fillId="8" borderId="4" xfId="0" applyFont="false" applyBorder="true" applyAlignment="true" applyProtection="false">
      <alignment horizontal="general" vertical="bottom" textRotation="0" wrapText="true" indent="0" shrinkToFit="false"/>
      <protection locked="true" hidden="false"/>
    </xf>
    <xf numFmtId="169" fontId="0" fillId="8" borderId="26" xfId="0" applyFont="false" applyBorder="true" applyAlignment="true" applyProtection="false">
      <alignment horizontal="general" vertical="bottom" textRotation="0" wrapText="true" indent="0" shrinkToFit="false"/>
      <protection locked="true" hidden="false"/>
    </xf>
    <xf numFmtId="169" fontId="0" fillId="14" borderId="14" xfId="0" applyFont="false" applyBorder="true" applyAlignment="false" applyProtection="false">
      <alignment horizontal="general" vertical="bottom" textRotation="0" wrapText="false" indent="0" shrinkToFit="false"/>
      <protection locked="true" hidden="false"/>
    </xf>
    <xf numFmtId="169" fontId="0" fillId="14" borderId="27" xfId="0" applyFont="false" applyBorder="true" applyAlignment="true" applyProtection="false">
      <alignment horizontal="general" vertical="bottom" textRotation="0" wrapText="true" indent="0" shrinkToFit="false"/>
      <protection locked="true" hidden="false"/>
    </xf>
    <xf numFmtId="169" fontId="0" fillId="14" borderId="28" xfId="0" applyFont="false" applyBorder="true" applyAlignment="true" applyProtection="false">
      <alignment horizontal="general" vertical="bottom" textRotation="0" wrapText="true" indent="0" shrinkToFit="false"/>
      <protection locked="true" hidden="false"/>
    </xf>
    <xf numFmtId="169" fontId="0" fillId="13" borderId="4" xfId="0" applyFont="false" applyBorder="true" applyAlignment="true" applyProtection="false">
      <alignment horizontal="general" vertical="bottom" textRotation="0" wrapText="true" indent="0" shrinkToFit="false"/>
      <protection locked="true" hidden="false"/>
    </xf>
    <xf numFmtId="169" fontId="0" fillId="13" borderId="0" xfId="0" applyFont="false" applyBorder="false" applyAlignment="true" applyProtection="false">
      <alignment horizontal="general" vertical="bottom" textRotation="0" wrapText="true" indent="0" shrinkToFit="false"/>
      <protection locked="true" hidden="false"/>
    </xf>
    <xf numFmtId="169" fontId="0" fillId="13" borderId="23" xfId="0" applyFont="false" applyBorder="true" applyAlignment="true" applyProtection="false">
      <alignment horizontal="general" vertical="bottom" textRotation="0" wrapText="true" indent="0" shrinkToFit="false"/>
      <protection locked="true" hidden="false"/>
    </xf>
    <xf numFmtId="164" fontId="0" fillId="10" borderId="0" xfId="21" applyFont="true" applyBorder="false" applyAlignment="false" applyProtection="false">
      <alignment horizontal="general" vertical="bottom" textRotation="0" wrapText="false" indent="0" shrinkToFit="false"/>
      <protection locked="true" hidden="false"/>
    </xf>
    <xf numFmtId="169" fontId="0" fillId="10" borderId="6" xfId="0" applyFont="false" applyBorder="true" applyAlignment="false" applyProtection="false">
      <alignment horizontal="general" vertical="bottom" textRotation="0" wrapText="false" indent="0" shrinkToFit="false"/>
      <protection locked="true" hidden="false"/>
    </xf>
    <xf numFmtId="164" fontId="0" fillId="19" borderId="4" xfId="0" applyFont="true" applyBorder="true" applyAlignment="true" applyProtection="false">
      <alignment horizontal="right" vertical="bottom" textRotation="0" wrapText="false" indent="0" shrinkToFit="false"/>
      <protection locked="true" hidden="false"/>
    </xf>
    <xf numFmtId="164" fontId="0" fillId="14" borderId="4" xfId="0" applyFont="true" applyBorder="true" applyAlignment="true" applyProtection="false">
      <alignment horizontal="left" vertical="center" textRotation="0" wrapText="false" indent="0" shrinkToFit="false"/>
      <protection locked="true" hidden="false"/>
    </xf>
    <xf numFmtId="164" fontId="0" fillId="14" borderId="14" xfId="0" applyFont="true" applyBorder="true" applyAlignment="true" applyProtection="false">
      <alignment horizontal="left" vertical="center" textRotation="0" wrapText="false" indent="0" shrinkToFit="false"/>
      <protection locked="true" hidden="false"/>
    </xf>
    <xf numFmtId="164" fontId="0" fillId="19" borderId="14" xfId="0" applyFont="false" applyBorder="true" applyAlignment="false" applyProtection="false">
      <alignment horizontal="general" vertical="bottom" textRotation="0" wrapText="false" indent="0" shrinkToFit="false"/>
      <protection locked="true" hidden="false"/>
    </xf>
    <xf numFmtId="164" fontId="0" fillId="14" borderId="15" xfId="0" applyFont="true" applyBorder="true" applyAlignment="true" applyProtection="false">
      <alignment horizontal="left" vertical="center" textRotation="0" wrapText="false" indent="0" shrinkToFit="false"/>
      <protection locked="true" hidden="false"/>
    </xf>
    <xf numFmtId="164" fontId="0" fillId="14" borderId="16" xfId="0" applyFont="true" applyBorder="true" applyAlignment="true" applyProtection="false">
      <alignment horizontal="left" vertical="center" textRotation="0" wrapText="false" indent="0" shrinkToFit="false"/>
      <protection locked="true" hidden="false"/>
    </xf>
    <xf numFmtId="164" fontId="0" fillId="14" borderId="16" xfId="0" applyFont="true" applyBorder="true" applyAlignment="false" applyProtection="false">
      <alignment horizontal="general" vertical="bottom" textRotation="0" wrapText="false" indent="0" shrinkToFit="false"/>
      <protection locked="true" hidden="false"/>
    </xf>
    <xf numFmtId="166" fontId="0" fillId="14" borderId="16" xfId="0" applyFont="false" applyBorder="true" applyAlignment="false" applyProtection="false">
      <alignment horizontal="general" vertical="bottom" textRotation="0" wrapText="false" indent="0" shrinkToFit="false"/>
      <protection locked="true" hidden="false"/>
    </xf>
    <xf numFmtId="164" fontId="0" fillId="19" borderId="16" xfId="0" applyFont="false" applyBorder="true" applyAlignment="false" applyProtection="false">
      <alignment horizontal="general" vertical="bottom" textRotation="0" wrapText="false" indent="0" shrinkToFit="false"/>
      <protection locked="true" hidden="false"/>
    </xf>
    <xf numFmtId="164" fontId="0" fillId="18" borderId="4" xfId="0" applyFont="false" applyBorder="true" applyAlignment="false" applyProtection="false">
      <alignment horizontal="general" vertical="bottom" textRotation="0" wrapText="false" indent="0" shrinkToFit="false"/>
      <protection locked="true" hidden="false"/>
    </xf>
    <xf numFmtId="166" fontId="0" fillId="18" borderId="4" xfId="0" applyFont="false" applyBorder="true" applyAlignment="false" applyProtection="false">
      <alignment horizontal="general" vertical="bottom" textRotation="0" wrapText="false" indent="0" shrinkToFit="false"/>
      <protection locked="true" hidden="false"/>
    </xf>
    <xf numFmtId="165" fontId="0" fillId="14" borderId="14" xfId="0" applyFont="false" applyBorder="true" applyAlignment="false" applyProtection="false">
      <alignment horizontal="general" vertical="bottom" textRotation="0" wrapText="false" indent="0" shrinkToFit="false"/>
      <protection locked="true" hidden="false"/>
    </xf>
    <xf numFmtId="166" fontId="0" fillId="14" borderId="4" xfId="0" applyFont="false" applyBorder="true" applyAlignment="false" applyProtection="false">
      <alignment horizontal="general" vertical="bottom" textRotation="0" wrapText="false" indent="0" shrinkToFit="false"/>
      <protection locked="true" hidden="false"/>
    </xf>
    <xf numFmtId="164" fontId="0" fillId="21" borderId="4" xfId="0" applyFont="true" applyBorder="true" applyAlignment="false" applyProtection="false">
      <alignment horizontal="general" vertical="bottom" textRotation="0" wrapText="false" indent="0" shrinkToFit="false"/>
      <protection locked="true" hidden="false"/>
    </xf>
    <xf numFmtId="166" fontId="0" fillId="12" borderId="4" xfId="0" applyFont="false" applyBorder="true" applyAlignment="false" applyProtection="false">
      <alignment horizontal="general" vertical="bottom" textRotation="0" wrapText="false" indent="0" shrinkToFit="false"/>
      <protection locked="true" hidden="false"/>
    </xf>
    <xf numFmtId="164" fontId="0" fillId="10" borderId="0" xfId="21" applyFont="false" applyBorder="false" applyAlignment="false" applyProtection="false">
      <alignment horizontal="general" vertical="bottom" textRotation="0" wrapText="false" indent="0" shrinkToFit="false"/>
      <protection locked="true" hidden="false"/>
    </xf>
    <xf numFmtId="164" fontId="0" fillId="18" borderId="14" xfId="0" applyFont="false" applyBorder="true" applyAlignment="false" applyProtection="false">
      <alignment horizontal="general" vertical="bottom" textRotation="0" wrapText="false" indent="0" shrinkToFit="false"/>
      <protection locked="true" hidden="false"/>
    </xf>
    <xf numFmtId="166" fontId="0" fillId="18" borderId="14" xfId="0" applyFont="false" applyBorder="true" applyAlignment="false" applyProtection="false">
      <alignment horizontal="general" vertical="bottom" textRotation="0" wrapText="false" indent="0" shrinkToFit="false"/>
      <protection locked="true" hidden="false"/>
    </xf>
    <xf numFmtId="164" fontId="0" fillId="10" borderId="14" xfId="0" applyFont="false" applyBorder="true" applyAlignment="false" applyProtection="false">
      <alignment horizontal="general" vertical="bottom" textRotation="0" wrapText="false" indent="0" shrinkToFit="false"/>
      <protection locked="true" hidden="false"/>
    </xf>
    <xf numFmtId="164" fontId="0" fillId="10" borderId="23" xfId="0" applyFont="false" applyBorder="true" applyAlignment="true" applyProtection="false">
      <alignment horizontal="general" vertical="bottom" textRotation="0" wrapText="true" indent="0" shrinkToFit="false"/>
      <protection locked="true" hidden="false"/>
    </xf>
    <xf numFmtId="164" fontId="0" fillId="10" borderId="29" xfId="0" applyFont="false" applyBorder="true" applyAlignment="true" applyProtection="false">
      <alignment horizontal="general" vertical="bottom" textRotation="0" wrapText="true" indent="0" shrinkToFit="false"/>
      <protection locked="true" hidden="false"/>
    </xf>
    <xf numFmtId="164" fontId="0" fillId="11" borderId="14" xfId="0" applyFont="false" applyBorder="true" applyAlignment="false" applyProtection="false">
      <alignment horizontal="general" vertical="bottom" textRotation="0" wrapText="false" indent="0" shrinkToFit="false"/>
      <protection locked="true" hidden="false"/>
    </xf>
    <xf numFmtId="164" fontId="0" fillId="14" borderId="25" xfId="0" applyFont="false" applyBorder="true" applyAlignment="false" applyProtection="false">
      <alignment horizontal="general" vertical="bottom" textRotation="0" wrapText="false" indent="0" shrinkToFit="false"/>
      <protection locked="true" hidden="false"/>
    </xf>
    <xf numFmtId="164" fontId="0" fillId="10" borderId="24" xfId="0" applyFont="false" applyBorder="true" applyAlignment="false" applyProtection="false">
      <alignment horizontal="general" vertical="bottom" textRotation="0" wrapText="false" indent="0" shrinkToFit="false"/>
      <protection locked="true" hidden="false"/>
    </xf>
    <xf numFmtId="164" fontId="0" fillId="0" borderId="14" xfId="0" applyFont="true" applyBorder="true" applyAlignment="false" applyProtection="false">
      <alignment horizontal="general" vertical="bottom" textRotation="0" wrapText="false" indent="0" shrinkToFit="false"/>
      <protection locked="true" hidden="false"/>
    </xf>
    <xf numFmtId="169" fontId="0" fillId="0" borderId="4" xfId="0" applyFont="false" applyBorder="true" applyAlignment="false" applyProtection="false">
      <alignment horizontal="general" vertical="bottom" textRotation="0" wrapText="false" indent="0" shrinkToFit="false"/>
      <protection locked="true" hidden="false"/>
    </xf>
    <xf numFmtId="166" fontId="0" fillId="18" borderId="15" xfId="0" applyFont="false" applyBorder="true" applyAlignment="false" applyProtection="false">
      <alignment horizontal="general" vertical="bottom" textRotation="0" wrapText="false" indent="0" shrinkToFit="false"/>
      <protection locked="true" hidden="false"/>
    </xf>
    <xf numFmtId="164" fontId="0" fillId="18" borderId="16" xfId="0" applyFont="false" applyBorder="true" applyAlignment="false" applyProtection="false">
      <alignment horizontal="general" vertical="bottom" textRotation="0" wrapText="false" indent="0" shrinkToFit="false"/>
      <protection locked="true" hidden="false"/>
    </xf>
    <xf numFmtId="166" fontId="0" fillId="18" borderId="16" xfId="0" applyFont="false" applyBorder="true" applyAlignment="false" applyProtection="false">
      <alignment horizontal="general" vertical="bottom" textRotation="0" wrapText="false" indent="0" shrinkToFit="false"/>
      <protection locked="true" hidden="false"/>
    </xf>
    <xf numFmtId="164" fontId="0" fillId="10" borderId="16" xfId="0" applyFont="false" applyBorder="true" applyAlignment="false" applyProtection="false">
      <alignment horizontal="general" vertical="bottom" textRotation="0" wrapText="false" indent="0" shrinkToFit="false"/>
      <protection locked="true" hidden="false"/>
    </xf>
    <xf numFmtId="164" fontId="0" fillId="10" borderId="14" xfId="0" applyFont="false" applyBorder="true" applyAlignment="true" applyProtection="false">
      <alignment horizontal="general" vertical="bottom" textRotation="0" wrapText="true" indent="0" shrinkToFit="false"/>
      <protection locked="true" hidden="false"/>
    </xf>
    <xf numFmtId="164" fontId="0" fillId="9" borderId="4" xfId="0" applyFont="false" applyBorder="true" applyAlignment="true" applyProtection="false">
      <alignment horizontal="general" vertical="bottom" textRotation="0" wrapText="true" indent="0" shrinkToFit="false"/>
      <protection locked="true" hidden="false"/>
    </xf>
    <xf numFmtId="164" fontId="0" fillId="10" borderId="15" xfId="0" applyFont="false" applyBorder="true" applyAlignment="false" applyProtection="false">
      <alignment horizontal="general" vertical="bottom" textRotation="0" wrapText="false" indent="0" shrinkToFit="false"/>
      <protection locked="true" hidden="false"/>
    </xf>
    <xf numFmtId="164" fontId="0" fillId="11" borderId="16" xfId="0" applyFont="false" applyBorder="true" applyAlignment="false" applyProtection="false">
      <alignment horizontal="general" vertical="bottom" textRotation="0" wrapText="false" indent="0" shrinkToFit="false"/>
      <protection locked="true" hidden="false"/>
    </xf>
    <xf numFmtId="164" fontId="0" fillId="14" borderId="7" xfId="0" applyFont="false" applyBorder="true" applyAlignment="false" applyProtection="false">
      <alignment horizontal="general" vertical="bottom" textRotation="0" wrapText="false" indent="0" shrinkToFit="false"/>
      <protection locked="true" hidden="false"/>
    </xf>
    <xf numFmtId="164" fontId="0" fillId="10" borderId="30" xfId="0" applyFont="false" applyBorder="true" applyAlignment="false" applyProtection="false">
      <alignment horizontal="general" vertical="bottom" textRotation="0" wrapText="false" indent="0" shrinkToFit="false"/>
      <protection locked="true" hidden="false"/>
    </xf>
    <xf numFmtId="166" fontId="0" fillId="0" borderId="15" xfId="0" applyFont="false" applyBorder="true" applyAlignment="false" applyProtection="false">
      <alignment horizontal="general" vertical="bottom" textRotation="0" wrapText="false" indent="0" shrinkToFit="false"/>
      <protection locked="true" hidden="false"/>
    </xf>
    <xf numFmtId="164" fontId="0" fillId="10" borderId="16" xfId="0" applyFont="false" applyBorder="true" applyAlignment="true" applyProtection="false">
      <alignment horizontal="general" vertical="bottom" textRotation="0" wrapText="true" indent="0" shrinkToFit="false"/>
      <protection locked="true" hidden="false"/>
    </xf>
    <xf numFmtId="164" fontId="0" fillId="8" borderId="16" xfId="0" applyFont="false" applyBorder="true" applyAlignment="false" applyProtection="false">
      <alignment horizontal="general" vertical="bottom" textRotation="0" wrapText="false" indent="0" shrinkToFit="false"/>
      <protection locked="true" hidden="false"/>
    </xf>
    <xf numFmtId="169" fontId="0" fillId="9" borderId="4" xfId="0" applyFont="false" applyBorder="true" applyAlignment="false" applyProtection="false">
      <alignment horizontal="general" vertical="bottom" textRotation="0" wrapText="false" indent="0" shrinkToFit="false"/>
      <protection locked="true" hidden="false"/>
    </xf>
    <xf numFmtId="166" fontId="0" fillId="9" borderId="14" xfId="0" applyFont="false" applyBorder="true" applyAlignment="false" applyProtection="false">
      <alignment horizontal="general" vertical="bottom" textRotation="0" wrapText="false" indent="0" shrinkToFit="false"/>
      <protection locked="true" hidden="false"/>
    </xf>
    <xf numFmtId="164" fontId="0" fillId="9" borderId="14" xfId="0" applyFont="false" applyBorder="true" applyAlignment="false" applyProtection="false">
      <alignment horizontal="general" vertical="bottom" textRotation="0" wrapText="false" indent="0" shrinkToFit="false"/>
      <protection locked="true" hidden="false"/>
    </xf>
    <xf numFmtId="164" fontId="0" fillId="14" borderId="14" xfId="0" applyFont="false" applyBorder="true" applyAlignment="true" applyProtection="false">
      <alignment horizontal="general" vertical="bottom" textRotation="0" wrapText="true" indent="0" shrinkToFit="false"/>
      <protection locked="true" hidden="false"/>
    </xf>
    <xf numFmtId="164" fontId="0" fillId="14" borderId="24" xfId="0" applyFont="false" applyBorder="true" applyAlignment="false" applyProtection="false">
      <alignment horizontal="general" vertical="bottom" textRotation="0" wrapText="false" indent="0" shrinkToFit="false"/>
      <protection locked="true" hidden="false"/>
    </xf>
    <xf numFmtId="169" fontId="0" fillId="14" borderId="4" xfId="0" applyFont="false" applyBorder="true" applyAlignment="false" applyProtection="false">
      <alignment horizontal="general" vertical="bottom" textRotation="0" wrapText="false" indent="0" shrinkToFit="false"/>
      <protection locked="true" hidden="false"/>
    </xf>
    <xf numFmtId="164" fontId="0" fillId="17" borderId="0" xfId="0" applyFont="true" applyBorder="false" applyAlignment="false" applyProtection="false">
      <alignment horizontal="general" vertical="bottom" textRotation="0" wrapText="false" indent="0" shrinkToFit="false"/>
      <protection locked="true" hidden="false"/>
    </xf>
    <xf numFmtId="164" fontId="0" fillId="14" borderId="16" xfId="0" applyFont="false" applyBorder="true" applyAlignment="true" applyProtection="false">
      <alignment horizontal="center" vertical="center" textRotation="0" wrapText="false" indent="0" shrinkToFit="false"/>
      <protection locked="true" hidden="false"/>
    </xf>
    <xf numFmtId="166" fontId="0" fillId="0" borderId="14" xfId="0" applyFont="false" applyBorder="true" applyAlignment="true" applyProtection="false">
      <alignment horizontal="center" vertical="center" textRotation="0" wrapText="false" indent="0" shrinkToFit="false"/>
      <protection locked="true" hidden="false"/>
    </xf>
    <xf numFmtId="164" fontId="0" fillId="11" borderId="14" xfId="0" applyFont="false" applyBorder="true" applyAlignment="true" applyProtection="false">
      <alignment horizontal="center" vertical="center" textRotation="0" wrapText="false" indent="0" shrinkToFit="false"/>
      <protection locked="true" hidden="false"/>
    </xf>
    <xf numFmtId="166" fontId="0" fillId="11" borderId="14" xfId="0" applyFont="false" applyBorder="true" applyAlignment="true" applyProtection="false">
      <alignment horizontal="center" vertical="center" textRotation="0" wrapText="false" indent="0" shrinkToFit="false"/>
      <protection locked="true" hidden="false"/>
    </xf>
    <xf numFmtId="166" fontId="0" fillId="14" borderId="14" xfId="0" applyFont="false" applyBorder="true" applyAlignment="true" applyProtection="false">
      <alignment horizontal="center" vertical="center" textRotation="0" wrapText="false" indent="0" shrinkToFit="false"/>
      <protection locked="true" hidden="false"/>
    </xf>
    <xf numFmtId="166" fontId="0" fillId="14" borderId="16" xfId="0" applyFont="false" applyBorder="true" applyAlignment="true" applyProtection="false">
      <alignment horizontal="center" vertical="center" textRotation="0" wrapText="false" indent="0" shrinkToFit="false"/>
      <protection locked="true" hidden="false"/>
    </xf>
    <xf numFmtId="164" fontId="15" fillId="7" borderId="24" xfId="0" applyFont="true" applyBorder="true" applyAlignment="true" applyProtection="false">
      <alignment horizontal="center" vertical="center" textRotation="0" wrapText="false" indent="0" shrinkToFit="false"/>
      <protection locked="true" hidden="false"/>
    </xf>
    <xf numFmtId="164" fontId="15" fillId="7" borderId="6" xfId="0" applyFont="true" applyBorder="true" applyAlignment="true" applyProtection="false">
      <alignment horizontal="center" vertical="center" textRotation="0" wrapText="false" indent="0" shrinkToFit="false"/>
      <protection locked="true" hidden="false"/>
    </xf>
    <xf numFmtId="164" fontId="0" fillId="18" borderId="16" xfId="0" applyFont="false" applyBorder="true" applyAlignment="true" applyProtection="false">
      <alignment horizontal="center" vertical="center" textRotation="0" wrapText="false" indent="0" shrinkToFit="false"/>
      <protection locked="true" hidden="false"/>
    </xf>
    <xf numFmtId="169" fontId="0" fillId="0" borderId="16" xfId="0" applyFont="true" applyBorder="true" applyAlignment="true" applyProtection="false">
      <alignment horizontal="center" vertical="center" textRotation="0" wrapText="false" indent="0" shrinkToFit="false"/>
      <protection locked="true" hidden="false"/>
    </xf>
    <xf numFmtId="164" fontId="0" fillId="9" borderId="16" xfId="0" applyFont="true" applyBorder="true" applyAlignment="true" applyProtection="false">
      <alignment horizontal="center" vertical="center" textRotation="0" wrapText="false" indent="0" shrinkToFit="false"/>
      <protection locked="true" hidden="false"/>
    </xf>
    <xf numFmtId="164" fontId="0" fillId="0" borderId="16" xfId="0" applyFont="true" applyBorder="true" applyAlignment="true" applyProtection="false">
      <alignment horizontal="center" vertical="center" textRotation="0" wrapText="false" indent="0" shrinkToFit="false"/>
      <protection locked="true" hidden="false"/>
    </xf>
    <xf numFmtId="166" fontId="0" fillId="22" borderId="14" xfId="0" applyFont="false" applyBorder="true" applyAlignment="true" applyProtection="false">
      <alignment horizontal="center" vertical="center" textRotation="0" wrapText="false" indent="0" shrinkToFit="false"/>
      <protection locked="true" hidden="false"/>
    </xf>
    <xf numFmtId="164" fontId="0" fillId="0" borderId="24" xfId="0" applyFont="false" applyBorder="true" applyAlignment="true" applyProtection="false">
      <alignment horizontal="center" vertical="center" textRotation="0" wrapText="false" indent="0" shrinkToFit="false"/>
      <protection locked="true" hidden="false"/>
    </xf>
    <xf numFmtId="164" fontId="0" fillId="14" borderId="6" xfId="0" applyFont="false" applyBorder="true" applyAlignment="true" applyProtection="false">
      <alignment horizontal="center" vertical="center" textRotation="0" wrapText="false" indent="0" shrinkToFit="false"/>
      <protection locked="true" hidden="false"/>
    </xf>
    <xf numFmtId="164" fontId="0" fillId="9" borderId="14" xfId="0" applyFont="false" applyBorder="true" applyAlignment="true" applyProtection="false">
      <alignment horizontal="center" vertical="center" textRotation="0" wrapText="false" indent="0" shrinkToFit="false"/>
      <protection locked="true" hidden="false"/>
    </xf>
    <xf numFmtId="166" fontId="0" fillId="9" borderId="14" xfId="0" applyFont="false" applyBorder="true" applyAlignment="true" applyProtection="false">
      <alignment horizontal="center" vertical="center" textRotation="0" wrapText="false" indent="0" shrinkToFit="false"/>
      <protection locked="true" hidden="false"/>
    </xf>
    <xf numFmtId="164" fontId="0" fillId="22" borderId="6" xfId="0" applyFont="true" applyBorder="true" applyAlignment="false" applyProtection="false">
      <alignment horizontal="general" vertical="bottom" textRotation="0" wrapText="false" indent="0" shrinkToFit="false"/>
      <protection locked="true" hidden="false"/>
    </xf>
    <xf numFmtId="164" fontId="0" fillId="0" borderId="6" xfId="0" applyFont="true" applyBorder="true" applyAlignment="true" applyProtection="false">
      <alignment horizontal="general" vertical="bottom" textRotation="0" wrapText="true" indent="0" shrinkToFit="false"/>
      <protection locked="true" hidden="false"/>
    </xf>
    <xf numFmtId="164" fontId="0" fillId="9" borderId="15" xfId="0" applyFont="true" applyBorder="true" applyAlignment="false" applyProtection="false">
      <alignment horizontal="general" vertical="bottom" textRotation="0" wrapText="false" indent="0" shrinkToFit="false"/>
      <protection locked="true" hidden="false"/>
    </xf>
    <xf numFmtId="164" fontId="0" fillId="14" borderId="15" xfId="0" applyFont="true" applyBorder="true" applyAlignment="false" applyProtection="false">
      <alignment horizontal="general" vertical="bottom" textRotation="0" wrapText="false" indent="0" shrinkToFit="false"/>
      <protection locked="true" hidden="false"/>
    </xf>
    <xf numFmtId="166" fontId="0" fillId="0" borderId="16" xfId="0" applyFont="true" applyBorder="true" applyAlignment="true" applyProtection="false">
      <alignment horizontal="center" vertical="center" textRotation="0" wrapText="false" indent="0" shrinkToFit="false"/>
      <protection locked="true" hidden="false"/>
    </xf>
    <xf numFmtId="164" fontId="0" fillId="9" borderId="16" xfId="0" applyFont="false" applyBorder="true" applyAlignment="false" applyProtection="false">
      <alignment horizontal="general" vertical="bottom" textRotation="0" wrapText="false" indent="0" shrinkToFit="false"/>
      <protection locked="true" hidden="false"/>
    </xf>
    <xf numFmtId="164" fontId="0" fillId="0" borderId="31" xfId="0" applyFont="false" applyBorder="true" applyAlignment="false" applyProtection="false">
      <alignment horizontal="general" vertical="bottom" textRotation="0" wrapText="false" indent="0" shrinkToFit="false"/>
      <protection locked="true" hidden="false"/>
    </xf>
    <xf numFmtId="164" fontId="15" fillId="7" borderId="8" xfId="0" applyFont="true" applyBorder="true" applyAlignment="true" applyProtection="false">
      <alignment horizontal="center" vertical="center" textRotation="0" wrapText="false" indent="0" shrinkToFit="false"/>
      <protection locked="true" hidden="false"/>
    </xf>
    <xf numFmtId="164" fontId="15" fillId="7" borderId="27" xfId="0" applyFont="true" applyBorder="true" applyAlignment="true" applyProtection="false">
      <alignment horizontal="center" vertical="center" textRotation="0" wrapText="true" indent="0" shrinkToFit="false"/>
      <protection locked="true" hidden="false"/>
    </xf>
    <xf numFmtId="164" fontId="15" fillId="7" borderId="9" xfId="0" applyFont="true" applyBorder="true" applyAlignment="true" applyProtection="false">
      <alignment horizontal="center" vertical="center" textRotation="0" wrapText="true" indent="0" shrinkToFit="false"/>
      <protection locked="true" hidden="false"/>
    </xf>
    <xf numFmtId="164" fontId="28" fillId="2" borderId="1" xfId="23" applyFont="true" applyBorder="false" applyAlignment="true" applyProtection="true">
      <alignment horizontal="general" vertical="bottom" textRotation="0" wrapText="true" indent="0" shrinkToFit="false"/>
      <protection locked="true" hidden="false"/>
    </xf>
    <xf numFmtId="164" fontId="0" fillId="0" borderId="11" xfId="0" applyFont="true" applyBorder="true" applyAlignment="true" applyProtection="false">
      <alignment horizontal="left" vertical="center" textRotation="0" wrapText="false" indent="0" shrinkToFit="false"/>
      <protection locked="true" hidden="false"/>
    </xf>
    <xf numFmtId="164" fontId="0" fillId="0" borderId="32" xfId="0" applyFont="false" applyBorder="true" applyAlignment="true" applyProtection="false">
      <alignment horizontal="center" vertical="center" textRotation="0" wrapText="false" indent="0" shrinkToFit="false"/>
      <protection locked="true" hidden="false"/>
    </xf>
    <xf numFmtId="164" fontId="0" fillId="0" borderId="13" xfId="0" applyFont="false" applyBorder="true" applyAlignment="true" applyProtection="false">
      <alignment horizontal="left" vertical="center" textRotation="0" wrapText="false" indent="0" shrinkToFit="false"/>
      <protection locked="true" hidden="false"/>
    </xf>
    <xf numFmtId="164" fontId="15" fillId="7" borderId="4" xfId="0" applyFont="true" applyBorder="true" applyAlignment="false" applyProtection="false">
      <alignment horizontal="general" vertical="bottom" textRotation="0" wrapText="false" indent="0" shrinkToFit="false"/>
      <protection locked="true" hidden="false"/>
    </xf>
    <xf numFmtId="164" fontId="0" fillId="10" borderId="4" xfId="0" applyFont="false" applyBorder="true" applyAlignment="true" applyProtection="false">
      <alignment horizontal="center" vertical="bottom" textRotation="0" wrapText="false" indent="0" shrinkToFit="false"/>
      <protection locked="true" hidden="false"/>
    </xf>
    <xf numFmtId="164" fontId="0" fillId="0" borderId="33" xfId="0" applyFont="false" applyBorder="true" applyAlignment="false" applyProtection="false">
      <alignment horizontal="general" vertical="bottom" textRotation="0" wrapText="false" indent="0" shrinkToFit="false"/>
      <protection locked="true" hidden="false"/>
    </xf>
    <xf numFmtId="164" fontId="0" fillId="0" borderId="34" xfId="0" applyFont="false" applyBorder="true" applyAlignment="false" applyProtection="false">
      <alignment horizontal="general" vertical="bottom" textRotation="0" wrapText="false" indent="0" shrinkToFit="false"/>
      <protection locked="true" hidden="false"/>
    </xf>
    <xf numFmtId="164" fontId="0" fillId="0" borderId="35" xfId="0" applyFont="false" applyBorder="true" applyAlignment="false" applyProtection="false">
      <alignment horizontal="general" vertical="bottom" textRotation="0" wrapText="false" indent="0" shrinkToFit="false"/>
      <protection locked="true" hidden="false"/>
    </xf>
    <xf numFmtId="164" fontId="4" fillId="0" borderId="19" xfId="0" applyFont="true" applyBorder="true" applyAlignment="false" applyProtection="false">
      <alignment horizontal="general" vertical="bottom" textRotation="0" wrapText="false" indent="0" shrinkToFit="false"/>
      <protection locked="true" hidden="false"/>
    </xf>
    <xf numFmtId="164" fontId="0" fillId="0" borderId="36" xfId="0" applyFont="false" applyBorder="true" applyAlignment="false" applyProtection="false">
      <alignment horizontal="general" vertical="bottom" textRotation="0" wrapText="false" indent="0" shrinkToFit="false"/>
      <protection locked="true" hidden="false"/>
    </xf>
    <xf numFmtId="164" fontId="0" fillId="0" borderId="8" xfId="0" applyFont="true" applyBorder="true" applyAlignment="false" applyProtection="false">
      <alignment horizontal="general" vertical="bottom" textRotation="0" wrapText="false" indent="0" shrinkToFit="false"/>
      <protection locked="true" hidden="false"/>
    </xf>
    <xf numFmtId="164" fontId="20" fillId="4" borderId="37" xfId="25" applyFont="false" applyBorder="true" applyAlignment="false" applyProtection="true">
      <alignment horizontal="general" vertical="bottom" textRotation="0" wrapText="false" indent="0" shrinkToFit="false"/>
      <protection locked="true" hidden="false"/>
    </xf>
    <xf numFmtId="164" fontId="0" fillId="0" borderId="38" xfId="0" applyFont="true" applyBorder="true" applyAlignment="false" applyProtection="false">
      <alignment horizontal="general" vertical="bottom" textRotation="0" wrapText="false" indent="0" shrinkToFit="false"/>
      <protection locked="true" hidden="false"/>
    </xf>
    <xf numFmtId="164" fontId="20" fillId="4" borderId="39" xfId="25" applyFont="false" applyBorder="true" applyAlignment="false" applyProtection="true">
      <alignment horizontal="general" vertical="bottom" textRotation="0" wrapText="false" indent="0" shrinkToFit="false"/>
      <protection locked="true" hidden="false"/>
    </xf>
    <xf numFmtId="164" fontId="29" fillId="5" borderId="40" xfId="26" applyFont="true" applyBorder="true" applyAlignment="false" applyProtection="true">
      <alignment horizontal="general" vertical="bottom" textRotation="0" wrapText="false" indent="0" shrinkToFit="false"/>
      <protection locked="true" hidden="false"/>
    </xf>
    <xf numFmtId="164" fontId="29" fillId="5" borderId="41" xfId="26" applyFont="false" applyBorder="true" applyAlignment="false" applyProtection="true">
      <alignment horizontal="general" vertical="bottom" textRotation="0" wrapText="false" indent="0" shrinkToFit="false"/>
      <protection locked="true" hidden="false"/>
    </xf>
    <xf numFmtId="164" fontId="0" fillId="0" borderId="42" xfId="0" applyFont="false" applyBorder="true" applyAlignment="false" applyProtection="false">
      <alignment horizontal="general" vertical="bottom" textRotation="0" wrapText="false" indent="0" shrinkToFit="false"/>
      <protection locked="true" hidden="false"/>
    </xf>
    <xf numFmtId="164" fontId="4" fillId="0" borderId="24" xfId="0" applyFont="true" applyBorder="true" applyAlignment="false" applyProtection="false">
      <alignment horizontal="general" vertical="bottom" textRotation="0" wrapText="false" indent="0" shrinkToFit="false"/>
      <protection locked="true" hidden="false"/>
    </xf>
    <xf numFmtId="164" fontId="20" fillId="4" borderId="4" xfId="25" applyFont="true" applyBorder="true" applyAlignment="false" applyProtection="true">
      <alignment horizontal="general" vertical="bottom" textRotation="0" wrapText="false" indent="0" shrinkToFit="false"/>
      <protection locked="true" hidden="false"/>
    </xf>
    <xf numFmtId="164" fontId="30" fillId="5" borderId="14" xfId="27" applyFont="true" applyBorder="true" applyAlignment="false" applyProtection="true">
      <alignment horizontal="general" vertical="bottom" textRotation="0" wrapText="false" indent="0" shrinkToFit="false"/>
      <protection locked="true" hidden="false"/>
    </xf>
    <xf numFmtId="165" fontId="20" fillId="4" borderId="43" xfId="25" applyFont="false" applyBorder="true" applyAlignment="false" applyProtection="true">
      <alignment horizontal="general" vertical="bottom" textRotation="0" wrapText="false" indent="0" shrinkToFit="false"/>
      <protection locked="true" hidden="false"/>
    </xf>
    <xf numFmtId="171" fontId="0" fillId="0" borderId="17" xfId="0" applyFont="false" applyBorder="true" applyAlignment="false" applyProtection="false">
      <alignment horizontal="general" vertical="bottom" textRotation="0" wrapText="false" indent="0" shrinkToFit="false"/>
      <protection locked="true" hidden="false"/>
    </xf>
    <xf numFmtId="165" fontId="20" fillId="4" borderId="44" xfId="25" applyFont="false" applyBorder="true" applyAlignment="false" applyProtection="true">
      <alignment horizontal="general" vertical="bottom" textRotation="0" wrapText="false" indent="0" shrinkToFit="false"/>
      <protection locked="true" hidden="false"/>
    </xf>
    <xf numFmtId="167" fontId="31" fillId="5" borderId="45" xfId="27" applyFont="true" applyBorder="true" applyAlignment="false" applyProtection="true">
      <alignment horizontal="general" vertical="bottom" textRotation="0" wrapText="false" indent="0" shrinkToFit="false"/>
      <protection locked="true" hidden="false"/>
    </xf>
    <xf numFmtId="165" fontId="20" fillId="4" borderId="46" xfId="25" applyFont="false" applyBorder="true" applyAlignment="false" applyProtection="true">
      <alignment horizontal="general" vertical="bottom" textRotation="0" wrapText="false" indent="0" shrinkToFit="false"/>
      <protection locked="true" hidden="false"/>
    </xf>
    <xf numFmtId="165" fontId="20" fillId="4" borderId="47" xfId="25" applyFont="false" applyBorder="true" applyAlignment="false" applyProtection="true">
      <alignment horizontal="general" vertical="bottom" textRotation="0" wrapText="false" indent="0" shrinkToFit="false"/>
      <protection locked="true" hidden="false"/>
    </xf>
    <xf numFmtId="165" fontId="20" fillId="4" borderId="48" xfId="25" applyFont="false" applyBorder="true" applyAlignment="false" applyProtection="true">
      <alignment horizontal="general" vertical="bottom" textRotation="0" wrapText="false" indent="0" shrinkToFit="false"/>
      <protection locked="true" hidden="false"/>
    </xf>
    <xf numFmtId="171" fontId="0" fillId="0" borderId="15" xfId="0" applyFont="false" applyBorder="true" applyAlignment="false" applyProtection="false">
      <alignment horizontal="general" vertical="bottom" textRotation="0" wrapText="false" indent="0" shrinkToFit="false"/>
      <protection locked="true" hidden="false"/>
    </xf>
    <xf numFmtId="165" fontId="20" fillId="4" borderId="49" xfId="25" applyFont="false" applyBorder="true" applyAlignment="false" applyProtection="true">
      <alignment horizontal="general" vertical="bottom" textRotation="0" wrapText="false" indent="0" shrinkToFit="false"/>
      <protection locked="true" hidden="false"/>
    </xf>
    <xf numFmtId="164" fontId="0" fillId="0" borderId="50" xfId="0" applyFont="false" applyBorder="true" applyAlignment="false" applyProtection="false">
      <alignment horizontal="general" vertical="bottom" textRotation="0" wrapText="false" indent="0" shrinkToFit="false"/>
      <protection locked="true" hidden="false"/>
    </xf>
    <xf numFmtId="164" fontId="0" fillId="0" borderId="51" xfId="0" applyFont="false" applyBorder="true" applyAlignment="false" applyProtection="false">
      <alignment horizontal="general" vertical="bottom" textRotation="0" wrapText="false" indent="0" shrinkToFit="false"/>
      <protection locked="true" hidden="false"/>
    </xf>
    <xf numFmtId="164" fontId="0" fillId="0" borderId="52" xfId="0" applyFont="false" applyBorder="true" applyAlignment="false" applyProtection="false">
      <alignment horizontal="general" vertical="bottom" textRotation="0" wrapText="false" indent="0" shrinkToFit="false"/>
      <protection locked="true" hidden="false"/>
    </xf>
    <xf numFmtId="164" fontId="29" fillId="5" borderId="4" xfId="26" applyFont="true" applyBorder="true" applyAlignment="false" applyProtection="true">
      <alignment horizontal="general" vertical="bottom" textRotation="0" wrapText="false" indent="0" shrinkToFit="false"/>
      <protection locked="true" hidden="false"/>
    </xf>
    <xf numFmtId="164" fontId="30" fillId="5" borderId="4" xfId="27" applyFont="true" applyBorder="true" applyAlignment="false" applyProtection="true">
      <alignment horizontal="general" vertical="bottom" textRotation="0" wrapText="false" indent="0" shrinkToFit="false"/>
      <protection locked="true" hidden="false"/>
    </xf>
    <xf numFmtId="164" fontId="0" fillId="0" borderId="24" xfId="0" applyFont="true" applyBorder="true" applyAlignment="false" applyProtection="false">
      <alignment horizontal="general" vertical="bottom" textRotation="0" wrapText="false" indent="0" shrinkToFit="false"/>
      <protection locked="true" hidden="false"/>
    </xf>
    <xf numFmtId="164" fontId="4" fillId="18" borderId="4" xfId="0" applyFont="true" applyBorder="true" applyAlignment="false" applyProtection="false">
      <alignment horizontal="general" vertical="bottom" textRotation="0" wrapText="false" indent="0" shrinkToFit="false"/>
      <protection locked="true" hidden="false"/>
    </xf>
    <xf numFmtId="164" fontId="0" fillId="0" borderId="4" xfId="0" applyFont="true" applyBorder="true" applyAlignment="true" applyProtection="false">
      <alignment horizontal="right" vertical="bottom" textRotation="0" wrapText="false" indent="0" shrinkToFit="false"/>
      <protection locked="true" hidden="false"/>
    </xf>
    <xf numFmtId="164" fontId="0" fillId="0" borderId="53" xfId="0" applyFont="true" applyBorder="true" applyAlignment="false" applyProtection="false">
      <alignment horizontal="general" vertical="bottom" textRotation="0" wrapText="false" indent="0" shrinkToFit="false"/>
      <protection locked="true" hidden="false"/>
    </xf>
    <xf numFmtId="164" fontId="0" fillId="0" borderId="18" xfId="0" applyFont="true" applyBorder="true" applyAlignment="false" applyProtection="false">
      <alignment horizontal="general" vertical="bottom" textRotation="0" wrapText="false" indent="0" shrinkToFit="false"/>
      <protection locked="true" hidden="false"/>
    </xf>
    <xf numFmtId="167" fontId="0" fillId="0" borderId="54" xfId="0" applyFont="false" applyBorder="true" applyAlignment="true" applyProtection="false">
      <alignment horizontal="center" vertical="bottom" textRotation="0" wrapText="false" indent="0" shrinkToFit="false"/>
      <protection locked="true" hidden="false"/>
    </xf>
    <xf numFmtId="164" fontId="0" fillId="0" borderId="55" xfId="0" applyFont="true" applyBorder="true" applyAlignment="true" applyProtection="false">
      <alignment horizontal="center" vertical="center" textRotation="0" wrapText="false" indent="0" shrinkToFit="false"/>
      <protection locked="true" hidden="false"/>
    </xf>
    <xf numFmtId="164" fontId="0" fillId="0" borderId="56" xfId="0" applyFont="true" applyBorder="true" applyAlignment="false" applyProtection="false">
      <alignment horizontal="general" vertical="bottom" textRotation="0" wrapText="false" indent="0" shrinkToFit="false"/>
      <protection locked="true" hidden="false"/>
    </xf>
    <xf numFmtId="164" fontId="0" fillId="0" borderId="57" xfId="0" applyFont="true" applyBorder="true" applyAlignment="false" applyProtection="false">
      <alignment horizontal="general" vertical="bottom"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0" fillId="0" borderId="58" xfId="0" applyFont="true" applyBorder="true" applyAlignment="false" applyProtection="false">
      <alignment horizontal="general" vertical="bottom" textRotation="0" wrapText="fals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cellXfs>
  <cellStyles count="14">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Normal 3" xfId="22"/>
    <cellStyle name="Excel Built-in Note" xfId="23"/>
    <cellStyle name="Excel Built-in Neutral" xfId="24"/>
    <cellStyle name="Excel Built-in Input" xfId="25"/>
    <cellStyle name="*unknown*" xfId="20" builtinId="8"/>
    <cellStyle name="Excel Built-in Calculation" xfId="26"/>
    <cellStyle name="Excel Built-in Output" xfId="27"/>
  </cellStyles>
  <colors>
    <indexedColors>
      <rgbColor rgb="FF000000"/>
      <rgbColor rgb="FFFFFFFF"/>
      <rgbColor rgb="FFFF0000"/>
      <rgbColor rgb="FF00FF00"/>
      <rgbColor rgb="FF0000FF"/>
      <rgbColor rgb="FFFFFF00"/>
      <rgbColor rgb="FFFF00FF"/>
      <rgbColor rgb="FF00FFFF"/>
      <rgbColor rgb="FF800000"/>
      <rgbColor rgb="FF008000"/>
      <rgbColor rgb="FF000080"/>
      <rgbColor rgb="FFFFF2CC"/>
      <rgbColor rgb="FF800080"/>
      <rgbColor rgb="FF008080"/>
      <rgbColor rgb="FFBFBFBF"/>
      <rgbColor rgb="FF7F7F7F"/>
      <rgbColor rgb="FF5B9BD5"/>
      <rgbColor rgb="FF7030A0"/>
      <rgbColor rgb="FFFFFFCC"/>
      <rgbColor rgb="FFF2F2F2"/>
      <rgbColor rgb="FF660066"/>
      <rgbColor rgb="FFFB7561"/>
      <rgbColor rgb="FF0563C1"/>
      <rgbColor rgb="FFD0CECE"/>
      <rgbColor rgb="FF000080"/>
      <rgbColor rgb="FFFF00FF"/>
      <rgbColor rgb="FFFFD966"/>
      <rgbColor rgb="FF00FFFF"/>
      <rgbColor rgb="FF800080"/>
      <rgbColor rgb="FF800000"/>
      <rgbColor rgb="FF008080"/>
      <rgbColor rgb="FF0000FF"/>
      <rgbColor rgb="FF00DADB"/>
      <rgbColor rgb="FFD9D9D9"/>
      <rgbColor rgb="FFE2F0D9"/>
      <rgbColor rgb="FFFFEB9C"/>
      <rgbColor rgb="FFA9D18E"/>
      <rgbColor rgb="FFF8CBAD"/>
      <rgbColor rgb="FFFFE699"/>
      <rgbColor rgb="FFFFCC99"/>
      <rgbColor rgb="FF4472C4"/>
      <rgbColor rgb="FF00B0F0"/>
      <rgbColor rgb="FF92D050"/>
      <rgbColor rgb="FFFFC000"/>
      <rgbColor rgb="FFED7D31"/>
      <rgbColor rgb="FFFA7D00"/>
      <rgbColor rgb="FF595959"/>
      <rgbColor rgb="FFB2B2B2"/>
      <rgbColor rgb="FF003366"/>
      <rgbColor rgb="FF00B050"/>
      <rgbColor rgb="FF003300"/>
      <rgbColor rgb="FF333300"/>
      <rgbColor rgb="FF9C5700"/>
      <rgbColor rgb="FF993366"/>
      <rgbColor rgb="FF3F3F76"/>
      <rgbColor rgb="FF3F3F3F"/>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worksheet" Target="worksheets/sheet12.xml"/><Relationship Id="rId14" Type="http://schemas.openxmlformats.org/officeDocument/2006/relationships/worksheet" Target="worksheets/sheet13.xml"/><Relationship Id="rId15" Type="http://schemas.openxmlformats.org/officeDocument/2006/relationships/worksheet" Target="worksheets/sheet14.xml"/><Relationship Id="rId16" Type="http://schemas.openxmlformats.org/officeDocument/2006/relationships/worksheet" Target="worksheets/sheet15.xml"/><Relationship Id="rId17" Type="http://schemas.openxmlformats.org/officeDocument/2006/relationships/worksheet" Target="worksheets/sheet16.xml"/><Relationship Id="rId18" Type="http://schemas.openxmlformats.org/officeDocument/2006/relationships/worksheet" Target="worksheets/sheet17.xml"/><Relationship Id="rId19" Type="http://schemas.openxmlformats.org/officeDocument/2006/relationships/worksheet" Target="worksheets/sheet18.xml"/><Relationship Id="rId20" Type="http://schemas.openxmlformats.org/officeDocument/2006/relationships/worksheet" Target="worksheets/sheet19.xml"/><Relationship Id="rId21" Type="http://schemas.openxmlformats.org/officeDocument/2006/relationships/worksheet" Target="worksheets/sheet20.xml"/><Relationship Id="rId22" Type="http://schemas.openxmlformats.org/officeDocument/2006/relationships/worksheet" Target="worksheets/sheet21.xml"/><Relationship Id="rId23" Type="http://schemas.openxmlformats.org/officeDocument/2006/relationships/worksheet" Target="worksheets/sheet22.xml"/><Relationship Id="rId24"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en-US" sz="1400" spc="-1" strike="noStrike">
                <a:solidFill>
                  <a:srgbClr val="595959"/>
                </a:solidFill>
                <a:latin typeface="Calibri"/>
              </a:defRPr>
            </a:pPr>
            <a:r>
              <a:rPr b="0" lang="en-US" sz="1400" spc="-1" strike="noStrike">
                <a:solidFill>
                  <a:srgbClr val="595959"/>
                </a:solidFill>
                <a:latin typeface="Calibri"/>
              </a:rPr>
              <a:t>CO2/Power</a:t>
            </a:r>
          </a:p>
        </c:rich>
      </c:tx>
      <c:overlay val="0"/>
      <c:spPr>
        <a:noFill/>
        <a:ln w="0">
          <a:noFill/>
        </a:ln>
      </c:spPr>
    </c:title>
    <c:autoTitleDeleted val="0"/>
    <c:plotArea>
      <c:scatterChart>
        <c:scatterStyle val="lineMarker"/>
        <c:varyColors val="0"/>
        <c:ser>
          <c:idx val="0"/>
          <c:order val="0"/>
          <c:tx>
            <c:strRef>
              <c:f>'Curve fit'!$B$15</c:f>
              <c:strCache>
                <c:ptCount val="1"/>
                <c:pt idx="0">
                  <c:v>CO2/Power</c:v>
                </c:pt>
              </c:strCache>
            </c:strRef>
          </c:tx>
          <c:spPr>
            <a:solidFill>
              <a:srgbClr val="4472c4"/>
            </a:solidFill>
            <a:ln w="25560">
              <a:noFill/>
            </a:ln>
          </c:spPr>
          <c:marker>
            <c:symbol val="circle"/>
            <c:size val="5"/>
            <c:spPr>
              <a:solidFill>
                <a:srgbClr val="4472c4"/>
              </a:solidFill>
            </c:spPr>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trendline>
            <c:spPr>
              <a:ln cap="rnd" w="19080">
                <a:solidFill>
                  <a:srgbClr val="4472c4"/>
                </a:solidFill>
                <a:prstDash val="sysDot"/>
                <a:round/>
              </a:ln>
            </c:spPr>
            <c:trendlineType val="power"/>
            <c:forward val="0"/>
            <c:backward val="0"/>
            <c:dispRSqr val="0"/>
            <c:dispEq val="1"/>
          </c:trendline>
          <c:xVal>
            <c:numRef>
              <c:f>'Curve fit'!$A$16:$A$23</c:f>
              <c:numCache>
                <c:formatCode>General</c:formatCode>
                <c:ptCount val="8"/>
                <c:pt idx="0">
                  <c:v>1</c:v>
                </c:pt>
                <c:pt idx="1">
                  <c:v>0.06</c:v>
                </c:pt>
                <c:pt idx="2">
                  <c:v>0.008</c:v>
                </c:pt>
                <c:pt idx="3">
                  <c:v>0.004</c:v>
                </c:pt>
                <c:pt idx="4">
                  <c:v>0.003</c:v>
                </c:pt>
                <c:pt idx="5">
                  <c:v>0.00260869565217391</c:v>
                </c:pt>
                <c:pt idx="6">
                  <c:v>0.002</c:v>
                </c:pt>
                <c:pt idx="7">
                  <c:v>0.00133333333333333</c:v>
                </c:pt>
              </c:numCache>
            </c:numRef>
          </c:xVal>
          <c:yVal>
            <c:numRef>
              <c:f>'Curve fit'!$B$16:$B$23</c:f>
              <c:numCache>
                <c:formatCode>General</c:formatCode>
                <c:ptCount val="8"/>
                <c:pt idx="0">
                  <c:v>1598.33333333333</c:v>
                </c:pt>
                <c:pt idx="1">
                  <c:v>806</c:v>
                </c:pt>
                <c:pt idx="2">
                  <c:v>645.333333333333</c:v>
                </c:pt>
                <c:pt idx="3">
                  <c:v>450</c:v>
                </c:pt>
                <c:pt idx="4">
                  <c:v>310</c:v>
                </c:pt>
                <c:pt idx="5">
                  <c:v>469.565217391304</c:v>
                </c:pt>
                <c:pt idx="6">
                  <c:v>363.333333333333</c:v>
                </c:pt>
                <c:pt idx="7">
                  <c:v>804.444444444445</c:v>
                </c:pt>
              </c:numCache>
            </c:numRef>
          </c:yVal>
          <c:smooth val="0"/>
        </c:ser>
        <c:axId val="353931"/>
        <c:axId val="40888601"/>
      </c:scatterChart>
      <c:valAx>
        <c:axId val="353931"/>
        <c:scaling>
          <c:orientation val="minMax"/>
        </c:scaling>
        <c:delete val="0"/>
        <c:axPos val="b"/>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40888601"/>
        <c:crosses val="autoZero"/>
        <c:crossBetween val="midCat"/>
      </c:valAx>
      <c:valAx>
        <c:axId val="40888601"/>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353931"/>
        <c:crosses val="autoZero"/>
        <c:crossBetween val="midCat"/>
      </c:valAx>
      <c:spPr>
        <a:noFill/>
        <a:ln w="0">
          <a:noFill/>
        </a:ln>
      </c:spPr>
    </c:plotArea>
    <c:plotVisOnly val="1"/>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en-US" sz="1400" spc="-1" strike="noStrike">
                <a:solidFill>
                  <a:srgbClr val="595959"/>
                </a:solidFill>
                <a:latin typeface="Calibri"/>
              </a:defRPr>
            </a:pPr>
            <a:r>
              <a:rPr b="0" lang="en-US" sz="1400" spc="-1" strike="noStrike">
                <a:solidFill>
                  <a:srgbClr val="595959"/>
                </a:solidFill>
                <a:latin typeface="Calibri"/>
              </a:rPr>
              <a:t>PE/Power</a:t>
            </a:r>
          </a:p>
        </c:rich>
      </c:tx>
      <c:overlay val="0"/>
      <c:spPr>
        <a:noFill/>
        <a:ln w="0">
          <a:noFill/>
        </a:ln>
      </c:spPr>
    </c:title>
    <c:autoTitleDeleted val="0"/>
    <c:plotArea>
      <c:layout>
        <c:manualLayout>
          <c:layoutTarget val="inner"/>
          <c:xMode val="edge"/>
          <c:yMode val="edge"/>
          <c:x val="0.0903379181524877"/>
          <c:y val="0.282830429239269"/>
          <c:w val="0.846323654270674"/>
          <c:h val="0.525924351891203"/>
        </c:manualLayout>
      </c:layout>
      <c:scatterChart>
        <c:scatterStyle val="lineMarker"/>
        <c:varyColors val="0"/>
        <c:ser>
          <c:idx val="0"/>
          <c:order val="0"/>
          <c:tx>
            <c:strRef>
              <c:f>'Curve fit'!$C$15</c:f>
              <c:strCache>
                <c:ptCount val="1"/>
                <c:pt idx="0">
                  <c:v>PE/Power</c:v>
                </c:pt>
              </c:strCache>
            </c:strRef>
          </c:tx>
          <c:spPr>
            <a:solidFill>
              <a:srgbClr val="4472c4"/>
            </a:solidFill>
            <a:ln w="25560">
              <a:noFill/>
            </a:ln>
          </c:spPr>
          <c:marker>
            <c:symbol val="circle"/>
            <c:size val="5"/>
            <c:spPr>
              <a:solidFill>
                <a:srgbClr val="4472c4"/>
              </a:solidFill>
            </c:spPr>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trendline>
            <c:spPr>
              <a:ln cap="rnd" w="19080">
                <a:solidFill>
                  <a:srgbClr val="4472c4"/>
                </a:solidFill>
                <a:prstDash val="sysDot"/>
                <a:round/>
              </a:ln>
            </c:spPr>
            <c:trendlineType val="power"/>
            <c:forward val="0"/>
            <c:backward val="0"/>
            <c:dispRSqr val="0"/>
            <c:dispEq val="1"/>
          </c:trendline>
          <c:xVal>
            <c:numRef>
              <c:f>'Curve fit'!$A$16:$A$23</c:f>
              <c:numCache>
                <c:formatCode>General</c:formatCode>
                <c:ptCount val="8"/>
                <c:pt idx="0">
                  <c:v>1</c:v>
                </c:pt>
                <c:pt idx="1">
                  <c:v>0.06</c:v>
                </c:pt>
                <c:pt idx="2">
                  <c:v>0.008</c:v>
                </c:pt>
                <c:pt idx="3">
                  <c:v>0.004</c:v>
                </c:pt>
                <c:pt idx="4">
                  <c:v>0.003</c:v>
                </c:pt>
                <c:pt idx="5">
                  <c:v>0.00260869565217391</c:v>
                </c:pt>
                <c:pt idx="6">
                  <c:v>0.002</c:v>
                </c:pt>
                <c:pt idx="7">
                  <c:v>0.00133333333333333</c:v>
                </c:pt>
              </c:numCache>
            </c:numRef>
          </c:xVal>
          <c:yVal>
            <c:numRef>
              <c:f>'Curve fit'!$C$16:$C$23</c:f>
              <c:numCache>
                <c:formatCode>General</c:formatCode>
                <c:ptCount val="8"/>
                <c:pt idx="0">
                  <c:v>22.5</c:v>
                </c:pt>
                <c:pt idx="1">
                  <c:v>9.9</c:v>
                </c:pt>
                <c:pt idx="2">
                  <c:v>10.96</c:v>
                </c:pt>
                <c:pt idx="3">
                  <c:v>5.54666666666667</c:v>
                </c:pt>
                <c:pt idx="4">
                  <c:v>4.065</c:v>
                </c:pt>
                <c:pt idx="5">
                  <c:v>7.04347826086957</c:v>
                </c:pt>
                <c:pt idx="6">
                  <c:v>5.36666666666667</c:v>
                </c:pt>
                <c:pt idx="7">
                  <c:v>11.0444444444444</c:v>
                </c:pt>
              </c:numCache>
            </c:numRef>
          </c:yVal>
          <c:smooth val="0"/>
        </c:ser>
        <c:axId val="18656356"/>
        <c:axId val="30925926"/>
      </c:scatterChart>
      <c:valAx>
        <c:axId val="18656356"/>
        <c:scaling>
          <c:orientation val="minMax"/>
        </c:scaling>
        <c:delete val="0"/>
        <c:axPos val="b"/>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30925926"/>
        <c:crosses val="autoZero"/>
        <c:crossBetween val="midCat"/>
      </c:valAx>
      <c:valAx>
        <c:axId val="30925926"/>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18656356"/>
        <c:crosses val="autoZero"/>
        <c:crossBetween val="midCat"/>
      </c:valAx>
      <c:spPr>
        <a:noFill/>
        <a:ln w="0">
          <a:noFill/>
        </a:ln>
      </c:spPr>
    </c:plotArea>
    <c:plotVisOnly val="1"/>
    <c:dispBlanksAs val="gap"/>
  </c:chart>
  <c:spPr>
    <a:solidFill>
      <a:srgbClr val="ffffff"/>
    </a:solidFill>
    <a:ln w="9360">
      <a:solidFill>
        <a:srgbClr val="d9d9d9"/>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en-US" sz="1400" spc="-1" strike="noStrike">
                <a:solidFill>
                  <a:srgbClr val="595959"/>
                </a:solidFill>
                <a:latin typeface="Calibri"/>
              </a:defRPr>
            </a:pPr>
            <a:r>
              <a:rPr b="0" lang="en-US" sz="1400" spc="-1" strike="noStrike">
                <a:solidFill>
                  <a:srgbClr val="595959"/>
                </a:solidFill>
                <a:latin typeface="Calibri"/>
              </a:rPr>
              <a:t>CO2/Power</a:t>
            </a:r>
          </a:p>
        </c:rich>
      </c:tx>
      <c:overlay val="0"/>
      <c:spPr>
        <a:noFill/>
        <a:ln w="0">
          <a:noFill/>
        </a:ln>
      </c:spPr>
    </c:title>
    <c:autoTitleDeleted val="0"/>
    <c:plotArea>
      <c:scatterChart>
        <c:scatterStyle val="lineMarker"/>
        <c:varyColors val="0"/>
        <c:ser>
          <c:idx val="0"/>
          <c:order val="0"/>
          <c:tx>
            <c:strRef>
              <c:f>'Curve fit'!$L$2</c:f>
              <c:strCache>
                <c:ptCount val="1"/>
                <c:pt idx="0">
                  <c:v>CO2/Power</c:v>
                </c:pt>
              </c:strCache>
            </c:strRef>
          </c:tx>
          <c:spPr>
            <a:solidFill>
              <a:srgbClr val="4472c4"/>
            </a:solidFill>
            <a:ln w="25560">
              <a:noFill/>
            </a:ln>
          </c:spPr>
          <c:marker>
            <c:symbol val="circle"/>
            <c:size val="5"/>
            <c:spPr>
              <a:solidFill>
                <a:srgbClr val="4472c4"/>
              </a:solidFill>
            </c:spPr>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trendline>
            <c:spPr>
              <a:ln cap="rnd" w="19080">
                <a:solidFill>
                  <a:srgbClr val="4472c4"/>
                </a:solidFill>
                <a:prstDash val="sysDot"/>
                <a:round/>
              </a:ln>
            </c:spPr>
            <c:trendlineType val="power"/>
            <c:forward val="0"/>
            <c:backward val="0"/>
            <c:dispRSqr val="0"/>
            <c:dispEq val="1"/>
          </c:trendline>
          <c:xVal>
            <c:numRef>
              <c:f>'Curve fit'!$J$3:$J$4</c:f>
              <c:numCache>
                <c:formatCode>General</c:formatCode>
                <c:ptCount val="2"/>
                <c:pt idx="0">
                  <c:v>1</c:v>
                </c:pt>
                <c:pt idx="1">
                  <c:v>0.0838644750083865</c:v>
                </c:pt>
              </c:numCache>
            </c:numRef>
          </c:xVal>
          <c:yVal>
            <c:numRef>
              <c:f>'Curve fit'!$L$3:$L$4</c:f>
              <c:numCache>
                <c:formatCode>General</c:formatCode>
                <c:ptCount val="2"/>
                <c:pt idx="0">
                  <c:v>162</c:v>
                </c:pt>
                <c:pt idx="1">
                  <c:v>25.3606172425361</c:v>
                </c:pt>
              </c:numCache>
            </c:numRef>
          </c:yVal>
          <c:smooth val="0"/>
        </c:ser>
        <c:axId val="49414310"/>
        <c:axId val="30014509"/>
      </c:scatterChart>
      <c:valAx>
        <c:axId val="49414310"/>
        <c:scaling>
          <c:orientation val="minMax"/>
        </c:scaling>
        <c:delete val="0"/>
        <c:axPos val="b"/>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30014509"/>
        <c:crosses val="autoZero"/>
        <c:crossBetween val="midCat"/>
      </c:valAx>
      <c:valAx>
        <c:axId val="30014509"/>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49414310"/>
        <c:crosses val="autoZero"/>
        <c:crossBetween val="midCat"/>
      </c:valAx>
      <c:spPr>
        <a:noFill/>
        <a:ln w="0">
          <a:noFill/>
        </a:ln>
      </c:spPr>
    </c:plotArea>
    <c:plotVisOnly val="1"/>
    <c:dispBlanksAs val="gap"/>
  </c:chart>
  <c:spPr>
    <a:solidFill>
      <a:srgbClr val="ffffff"/>
    </a:solidFill>
    <a:ln w="9360">
      <a:solidFill>
        <a:srgbClr val="d9d9d9"/>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en-US" sz="1400" spc="-1" strike="noStrike">
                <a:solidFill>
                  <a:srgbClr val="595959"/>
                </a:solidFill>
                <a:latin typeface="Calibri"/>
              </a:defRPr>
            </a:pPr>
            <a:r>
              <a:rPr b="0" lang="en-US" sz="1400" spc="-1" strike="noStrike">
                <a:solidFill>
                  <a:srgbClr val="595959"/>
                </a:solidFill>
                <a:latin typeface="Calibri"/>
              </a:rPr>
              <a:t>PE/Power</a:t>
            </a:r>
          </a:p>
        </c:rich>
      </c:tx>
      <c:overlay val="0"/>
      <c:spPr>
        <a:noFill/>
        <a:ln w="0">
          <a:noFill/>
        </a:ln>
      </c:spPr>
    </c:title>
    <c:autoTitleDeleted val="0"/>
    <c:plotArea>
      <c:scatterChart>
        <c:scatterStyle val="lineMarker"/>
        <c:varyColors val="0"/>
        <c:ser>
          <c:idx val="0"/>
          <c:order val="0"/>
          <c:tx>
            <c:strRef>
              <c:f>'Curve fit'!$N$2</c:f>
              <c:strCache>
                <c:ptCount val="1"/>
                <c:pt idx="0">
                  <c:v>PE/Power</c:v>
                </c:pt>
              </c:strCache>
            </c:strRef>
          </c:tx>
          <c:spPr>
            <a:solidFill>
              <a:srgbClr val="4472c4"/>
            </a:solidFill>
            <a:ln w="25560">
              <a:noFill/>
            </a:ln>
          </c:spPr>
          <c:marker>
            <c:symbol val="circle"/>
            <c:size val="5"/>
            <c:spPr>
              <a:solidFill>
                <a:srgbClr val="4472c4"/>
              </a:solidFill>
            </c:spPr>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trendline>
            <c:spPr>
              <a:ln cap="rnd" w="19080">
                <a:solidFill>
                  <a:srgbClr val="4472c4"/>
                </a:solidFill>
                <a:prstDash val="sysDot"/>
                <a:round/>
              </a:ln>
            </c:spPr>
            <c:trendlineType val="power"/>
            <c:forward val="0"/>
            <c:backward val="0"/>
            <c:dispRSqr val="0"/>
            <c:dispEq val="1"/>
          </c:trendline>
          <c:xVal>
            <c:numRef>
              <c:f>'Curve fit'!$J$3:$J$4</c:f>
              <c:numCache>
                <c:formatCode>General</c:formatCode>
                <c:ptCount val="2"/>
                <c:pt idx="0">
                  <c:v>1</c:v>
                </c:pt>
                <c:pt idx="1">
                  <c:v>0.0838644750083865</c:v>
                </c:pt>
              </c:numCache>
            </c:numRef>
          </c:xVal>
          <c:yVal>
            <c:numRef>
              <c:f>'Curve fit'!$N$3:$N$4</c:f>
              <c:numCache>
                <c:formatCode>General</c:formatCode>
                <c:ptCount val="2"/>
                <c:pt idx="0">
                  <c:v>2.54</c:v>
                </c:pt>
                <c:pt idx="1">
                  <c:v>0.321033210332103</c:v>
                </c:pt>
              </c:numCache>
            </c:numRef>
          </c:yVal>
          <c:smooth val="0"/>
        </c:ser>
        <c:axId val="63137495"/>
        <c:axId val="54096778"/>
      </c:scatterChart>
      <c:valAx>
        <c:axId val="63137495"/>
        <c:scaling>
          <c:orientation val="minMax"/>
        </c:scaling>
        <c:delete val="0"/>
        <c:axPos val="b"/>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54096778"/>
        <c:crosses val="autoZero"/>
        <c:crossBetween val="midCat"/>
      </c:valAx>
      <c:valAx>
        <c:axId val="54096778"/>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63137495"/>
        <c:crosses val="autoZero"/>
        <c:crossBetween val="midCat"/>
      </c:valAx>
      <c:spPr>
        <a:noFill/>
        <a:ln w="0">
          <a:noFill/>
        </a:ln>
      </c:spPr>
    </c:plotArea>
    <c:plotVisOnly val="1"/>
    <c:dispBlanksAs val="gap"/>
  </c:chart>
  <c:spPr>
    <a:solidFill>
      <a:srgbClr val="ffffff"/>
    </a:solidFill>
    <a:ln w="9360">
      <a:solidFill>
        <a:srgbClr val="d9d9d9"/>
      </a:solidFill>
      <a:round/>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en-GB" sz="1400" spc="-1" strike="noStrike">
                <a:solidFill>
                  <a:srgbClr val="595959"/>
                </a:solidFill>
                <a:latin typeface="Calibri"/>
              </a:defRPr>
            </a:pPr>
            <a:r>
              <a:rPr b="0" lang="en-GB" sz="1400" spc="-1" strike="noStrike">
                <a:solidFill>
                  <a:srgbClr val="595959"/>
                </a:solidFill>
                <a:latin typeface="Calibri"/>
              </a:rPr>
              <a:t>CO2/Power</a:t>
            </a:r>
          </a:p>
        </c:rich>
      </c:tx>
      <c:overlay val="0"/>
      <c:spPr>
        <a:noFill/>
        <a:ln w="0">
          <a:noFill/>
        </a:ln>
      </c:spPr>
    </c:title>
    <c:autoTitleDeleted val="0"/>
    <c:plotArea>
      <c:scatterChart>
        <c:scatterStyle val="lineMarker"/>
        <c:varyColors val="0"/>
        <c:ser>
          <c:idx val="0"/>
          <c:order val="0"/>
          <c:tx>
            <c:strRef>
              <c:f>'Curve fit'!$AD$2</c:f>
              <c:strCache>
                <c:ptCount val="1"/>
                <c:pt idx="0">
                  <c:v>CO2/Power</c:v>
                </c:pt>
              </c:strCache>
            </c:strRef>
          </c:tx>
          <c:spPr>
            <a:solidFill>
              <a:srgbClr val="4472c4"/>
            </a:solidFill>
            <a:ln w="25560">
              <a:noFill/>
            </a:ln>
          </c:spPr>
          <c:marker>
            <c:symbol val="circle"/>
            <c:size val="5"/>
            <c:spPr>
              <a:solidFill>
                <a:srgbClr val="4472c4"/>
              </a:solidFill>
            </c:spPr>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trendline>
            <c:spPr>
              <a:ln cap="rnd" w="19080">
                <a:solidFill>
                  <a:srgbClr val="4472c4"/>
                </a:solidFill>
                <a:prstDash val="sysDot"/>
                <a:round/>
              </a:ln>
            </c:spPr>
            <c:trendlineType val="power"/>
            <c:forward val="0"/>
            <c:backward val="0"/>
            <c:dispRSqr val="0"/>
            <c:dispEq val="1"/>
          </c:trendline>
          <c:xVal>
            <c:numRef>
              <c:f>'Curve fit'!$AB$3:$AB$5</c:f>
              <c:numCache>
                <c:formatCode>General</c:formatCode>
                <c:ptCount val="3"/>
                <c:pt idx="0">
                  <c:v>1</c:v>
                </c:pt>
                <c:pt idx="1">
                  <c:v>0.333333333333333</c:v>
                </c:pt>
                <c:pt idx="2">
                  <c:v>0.00175438596491228</c:v>
                </c:pt>
              </c:numCache>
            </c:numRef>
          </c:xVal>
          <c:yVal>
            <c:numRef>
              <c:f>'Curve fit'!$AD$3:$AD$5</c:f>
              <c:numCache>
                <c:formatCode>General</c:formatCode>
                <c:ptCount val="3"/>
                <c:pt idx="0">
                  <c:v>1443.87755102041</c:v>
                </c:pt>
                <c:pt idx="1">
                  <c:v>1960</c:v>
                </c:pt>
                <c:pt idx="2">
                  <c:v>2070.17543859649</c:v>
                </c:pt>
              </c:numCache>
            </c:numRef>
          </c:yVal>
          <c:smooth val="0"/>
        </c:ser>
        <c:axId val="77577174"/>
        <c:axId val="63555239"/>
      </c:scatterChart>
      <c:valAx>
        <c:axId val="77577174"/>
        <c:scaling>
          <c:orientation val="minMax"/>
        </c:scaling>
        <c:delete val="0"/>
        <c:axPos val="b"/>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63555239"/>
        <c:crosses val="autoZero"/>
        <c:crossBetween val="midCat"/>
      </c:valAx>
      <c:valAx>
        <c:axId val="63555239"/>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77577174"/>
        <c:crosses val="autoZero"/>
        <c:crossBetween val="midCat"/>
      </c:valAx>
      <c:spPr>
        <a:noFill/>
        <a:ln w="0">
          <a:noFill/>
        </a:ln>
      </c:spPr>
    </c:plotArea>
    <c:plotVisOnly val="1"/>
    <c:dispBlanksAs val="gap"/>
  </c:chart>
  <c:spPr>
    <a:solidFill>
      <a:srgbClr val="ffffff"/>
    </a:solidFill>
    <a:ln w="9360">
      <a:solidFill>
        <a:srgbClr val="d9d9d9"/>
      </a:solidFill>
      <a:round/>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en-GB" sz="1400" spc="-1" strike="noStrike">
                <a:solidFill>
                  <a:srgbClr val="595959"/>
                </a:solidFill>
                <a:latin typeface="Calibri"/>
              </a:defRPr>
            </a:pPr>
            <a:r>
              <a:rPr b="0" lang="en-GB" sz="1400" spc="-1" strike="noStrike">
                <a:solidFill>
                  <a:srgbClr val="595959"/>
                </a:solidFill>
                <a:latin typeface="Calibri"/>
              </a:rPr>
              <a:t>PE/Power</a:t>
            </a:r>
          </a:p>
        </c:rich>
      </c:tx>
      <c:overlay val="0"/>
      <c:spPr>
        <a:noFill/>
        <a:ln w="0">
          <a:noFill/>
        </a:ln>
      </c:spPr>
    </c:title>
    <c:autoTitleDeleted val="0"/>
    <c:plotArea>
      <c:scatterChart>
        <c:scatterStyle val="lineMarker"/>
        <c:varyColors val="0"/>
        <c:ser>
          <c:idx val="0"/>
          <c:order val="0"/>
          <c:tx>
            <c:strRef>
              <c:f>'Curve fit'!$AF$2</c:f>
              <c:strCache>
                <c:ptCount val="1"/>
                <c:pt idx="0">
                  <c:v>PE/Power</c:v>
                </c:pt>
              </c:strCache>
            </c:strRef>
          </c:tx>
          <c:spPr>
            <a:solidFill>
              <a:srgbClr val="4472c4"/>
            </a:solidFill>
            <a:ln w="25560">
              <a:noFill/>
            </a:ln>
          </c:spPr>
          <c:marker>
            <c:symbol val="circle"/>
            <c:size val="5"/>
            <c:spPr>
              <a:solidFill>
                <a:srgbClr val="4472c4"/>
              </a:solidFill>
            </c:spPr>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trendline>
            <c:spPr>
              <a:ln cap="rnd" w="19080">
                <a:solidFill>
                  <a:srgbClr val="4472c4"/>
                </a:solidFill>
                <a:prstDash val="sysDot"/>
                <a:round/>
              </a:ln>
            </c:spPr>
            <c:trendlineType val="power"/>
            <c:forward val="0"/>
            <c:backward val="0"/>
            <c:dispRSqr val="0"/>
            <c:dispEq val="1"/>
          </c:trendline>
          <c:xVal>
            <c:numRef>
              <c:f>'Curve fit'!$AB$3:$AB$5</c:f>
              <c:numCache>
                <c:formatCode>General</c:formatCode>
                <c:ptCount val="3"/>
                <c:pt idx="0">
                  <c:v>1</c:v>
                </c:pt>
                <c:pt idx="1">
                  <c:v>0.333333333333333</c:v>
                </c:pt>
                <c:pt idx="2">
                  <c:v>0.00175438596491228</c:v>
                </c:pt>
              </c:numCache>
            </c:numRef>
          </c:xVal>
          <c:yVal>
            <c:numRef>
              <c:f>'Curve fit'!$AF$3:$AF$5</c:f>
              <c:numCache>
                <c:formatCode>General</c:formatCode>
                <c:ptCount val="3"/>
                <c:pt idx="0">
                  <c:v>29.5918367346939</c:v>
                </c:pt>
                <c:pt idx="1">
                  <c:v>29.5666666666667</c:v>
                </c:pt>
                <c:pt idx="2">
                  <c:v>29.6491228070175</c:v>
                </c:pt>
              </c:numCache>
            </c:numRef>
          </c:yVal>
          <c:smooth val="0"/>
        </c:ser>
        <c:axId val="81803524"/>
        <c:axId val="16167225"/>
      </c:scatterChart>
      <c:valAx>
        <c:axId val="81803524"/>
        <c:scaling>
          <c:orientation val="minMax"/>
        </c:scaling>
        <c:delete val="0"/>
        <c:axPos val="b"/>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16167225"/>
        <c:crosses val="autoZero"/>
        <c:crossBetween val="midCat"/>
      </c:valAx>
      <c:valAx>
        <c:axId val="16167225"/>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81803524"/>
        <c:crosses val="autoZero"/>
        <c:crossBetween val="midCat"/>
      </c:valAx>
      <c:spPr>
        <a:noFill/>
        <a:ln w="0">
          <a:noFill/>
        </a:ln>
      </c:spPr>
    </c:plotArea>
    <c:plotVisOnly val="1"/>
    <c:dispBlanksAs val="gap"/>
  </c:chart>
  <c:spPr>
    <a:solidFill>
      <a:srgbClr val="ffffff"/>
    </a:solidFill>
    <a:ln w="9360">
      <a:solidFill>
        <a:srgbClr val="d9d9d9"/>
      </a:solidFill>
      <a:round/>
    </a:ln>
  </c:spPr>
</c:chartSpace>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en-US" sz="1400" spc="-1" strike="noStrike">
                <a:solidFill>
                  <a:srgbClr val="595959"/>
                </a:solidFill>
                <a:latin typeface="Calibri"/>
              </a:defRPr>
            </a:pPr>
            <a:r>
              <a:rPr b="0" lang="en-US" sz="1400" spc="-1" strike="noStrike">
                <a:solidFill>
                  <a:srgbClr val="595959"/>
                </a:solidFill>
                <a:latin typeface="Calibri"/>
              </a:rPr>
              <a:t>PE/Power</a:t>
            </a:r>
          </a:p>
        </c:rich>
      </c:tx>
      <c:overlay val="0"/>
      <c:spPr>
        <a:noFill/>
        <a:ln w="0">
          <a:noFill/>
        </a:ln>
      </c:spPr>
    </c:title>
    <c:autoTitleDeleted val="0"/>
    <c:plotArea>
      <c:scatterChart>
        <c:scatterStyle val="lineMarker"/>
        <c:varyColors val="0"/>
        <c:ser>
          <c:idx val="0"/>
          <c:order val="0"/>
          <c:tx>
            <c:strRef>
              <c:f>'Curve fit'!$C$15</c:f>
              <c:strCache>
                <c:ptCount val="1"/>
                <c:pt idx="0">
                  <c:v>PE/Power</c:v>
                </c:pt>
              </c:strCache>
            </c:strRef>
          </c:tx>
          <c:spPr>
            <a:solidFill>
              <a:srgbClr val="4472c4"/>
            </a:solidFill>
            <a:ln w="25560">
              <a:noFill/>
            </a:ln>
          </c:spPr>
          <c:marker>
            <c:symbol val="circle"/>
            <c:size val="5"/>
            <c:spPr>
              <a:solidFill>
                <a:srgbClr val="4472c4"/>
              </a:solidFill>
            </c:spPr>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trendline>
            <c:spPr>
              <a:ln cap="rnd" w="19080">
                <a:solidFill>
                  <a:srgbClr val="4472c4"/>
                </a:solidFill>
                <a:prstDash val="sysDot"/>
                <a:round/>
              </a:ln>
            </c:spPr>
            <c:trendlineType val="power"/>
            <c:forward val="0"/>
            <c:backward val="0"/>
            <c:dispRSqr val="0"/>
            <c:dispEq val="1"/>
          </c:trendline>
          <c:xVal>
            <c:numRef>
              <c:f>'Curve fit'!$A$16:$A$23</c:f>
              <c:numCache>
                <c:formatCode>General</c:formatCode>
                <c:ptCount val="8"/>
                <c:pt idx="0">
                  <c:v>1</c:v>
                </c:pt>
                <c:pt idx="1">
                  <c:v>0.06</c:v>
                </c:pt>
                <c:pt idx="2">
                  <c:v>0.008</c:v>
                </c:pt>
                <c:pt idx="3">
                  <c:v>0.004</c:v>
                </c:pt>
                <c:pt idx="4">
                  <c:v>0.003</c:v>
                </c:pt>
                <c:pt idx="5">
                  <c:v>0.00260869565217391</c:v>
                </c:pt>
                <c:pt idx="6">
                  <c:v>0.002</c:v>
                </c:pt>
                <c:pt idx="7">
                  <c:v>0.00133333333333333</c:v>
                </c:pt>
              </c:numCache>
            </c:numRef>
          </c:xVal>
          <c:yVal>
            <c:numRef>
              <c:f>'Curve fit'!$C$16:$C$23</c:f>
              <c:numCache>
                <c:formatCode>General</c:formatCode>
                <c:ptCount val="8"/>
                <c:pt idx="0">
                  <c:v>22.5</c:v>
                </c:pt>
                <c:pt idx="1">
                  <c:v>9.9</c:v>
                </c:pt>
                <c:pt idx="2">
                  <c:v>10.96</c:v>
                </c:pt>
                <c:pt idx="3">
                  <c:v>5.54666666666667</c:v>
                </c:pt>
                <c:pt idx="4">
                  <c:v>4.065</c:v>
                </c:pt>
                <c:pt idx="5">
                  <c:v>7.04347826086957</c:v>
                </c:pt>
                <c:pt idx="6">
                  <c:v>5.36666666666667</c:v>
                </c:pt>
                <c:pt idx="7">
                  <c:v>11.0444444444444</c:v>
                </c:pt>
              </c:numCache>
            </c:numRef>
          </c:yVal>
          <c:smooth val="0"/>
        </c:ser>
        <c:axId val="78823373"/>
        <c:axId val="33036027"/>
      </c:scatterChart>
      <c:valAx>
        <c:axId val="78823373"/>
        <c:scaling>
          <c:orientation val="minMax"/>
        </c:scaling>
        <c:delete val="0"/>
        <c:axPos val="b"/>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33036027"/>
        <c:crosses val="autoZero"/>
        <c:crossBetween val="midCat"/>
      </c:valAx>
      <c:valAx>
        <c:axId val="33036027"/>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78823373"/>
        <c:crosses val="autoZero"/>
        <c:crossBetween val="midCat"/>
      </c:valAx>
      <c:spPr>
        <a:noFill/>
        <a:ln w="0">
          <a:noFill/>
        </a:ln>
      </c:spPr>
    </c:plotArea>
    <c:plotVisOnly val="1"/>
    <c:dispBlanksAs val="gap"/>
  </c:chart>
  <c:spPr>
    <a:solidFill>
      <a:srgbClr val="ffffff"/>
    </a:solidFill>
    <a:ln w="9360">
      <a:solidFill>
        <a:srgbClr val="d9d9d9"/>
      </a:solidFill>
      <a:round/>
    </a:ln>
  </c:spPr>
</c:chartSpace>
</file>

<file path=xl/charts/chart8.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en-US" sz="1400" spc="-1" strike="noStrike">
                <a:solidFill>
                  <a:srgbClr val="595959"/>
                </a:solidFill>
                <a:latin typeface="Calibri"/>
              </a:defRPr>
            </a:pPr>
            <a:r>
              <a:rPr b="0" lang="en-US" sz="1400" spc="-1" strike="noStrike">
                <a:solidFill>
                  <a:srgbClr val="595959"/>
                </a:solidFill>
                <a:latin typeface="Calibri"/>
              </a:rPr>
              <a:t>Fit</a:t>
            </a:r>
          </a:p>
        </c:rich>
      </c:tx>
      <c:overlay val="0"/>
      <c:spPr>
        <a:noFill/>
        <a:ln w="0">
          <a:noFill/>
        </a:ln>
      </c:spPr>
    </c:title>
    <c:autoTitleDeleted val="0"/>
    <c:plotArea>
      <c:scatterChart>
        <c:scatterStyle val="line"/>
        <c:varyColors val="0"/>
        <c:ser>
          <c:idx val="0"/>
          <c:order val="0"/>
          <c:tx>
            <c:strRef>
              <c:f>"Fit"</c:f>
              <c:strCache>
                <c:ptCount val="1"/>
                <c:pt idx="0">
                  <c:v>Fit</c:v>
                </c:pt>
              </c:strCache>
            </c:strRef>
          </c:tx>
          <c:spPr>
            <a:solidFill>
              <a:srgbClr val="5b9bd5"/>
            </a:solidFill>
            <a:ln w="19080">
              <a:solidFill>
                <a:srgbClr val="5b9bd5"/>
              </a:solidFill>
              <a:round/>
            </a:ln>
          </c:spPr>
          <c:marker>
            <c:symbol val="none"/>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trendline>
            <c:spPr>
              <a:ln cap="rnd" w="19080">
                <a:solidFill>
                  <a:srgbClr val="5b9bd5"/>
                </a:solidFill>
                <a:prstDash val="sysDot"/>
                <a:round/>
              </a:ln>
            </c:spPr>
            <c:trendlineType val="power"/>
            <c:forward val="0"/>
            <c:backward val="0"/>
            <c:dispRSqr val="1"/>
            <c:dispEq val="1"/>
          </c:trendline>
          <c:xVal>
            <c:numRef>
              <c:f>Help!$C$21:$C$23</c:f>
              <c:numCache>
                <c:formatCode>General</c:formatCode>
                <c:ptCount val="3"/>
                <c:pt idx="0">
                  <c:v>2</c:v>
                </c:pt>
                <c:pt idx="1">
                  <c:v>0.02</c:v>
                </c:pt>
                <c:pt idx="2">
                  <c:v>0.002</c:v>
                </c:pt>
              </c:numCache>
            </c:numRef>
          </c:xVal>
          <c:yVal>
            <c:numRef>
              <c:f>Help!$D$21:$D$23</c:f>
              <c:numCache>
                <c:formatCode>General</c:formatCode>
                <c:ptCount val="3"/>
                <c:pt idx="0">
                  <c:v>1000</c:v>
                </c:pt>
                <c:pt idx="1">
                  <c:v>800</c:v>
                </c:pt>
                <c:pt idx="2">
                  <c:v>700</c:v>
                </c:pt>
              </c:numCache>
            </c:numRef>
          </c:yVal>
          <c:smooth val="1"/>
        </c:ser>
        <c:axId val="53118520"/>
        <c:axId val="52369486"/>
      </c:scatterChart>
      <c:valAx>
        <c:axId val="53118520"/>
        <c:scaling>
          <c:orientation val="minMax"/>
        </c:scaling>
        <c:delete val="0"/>
        <c:axPos val="b"/>
        <c:majorGridlines>
          <c:spPr>
            <a:ln w="9360">
              <a:solidFill>
                <a:srgbClr val="d9d9d9"/>
              </a:solidFill>
              <a:round/>
            </a:ln>
          </c:spPr>
        </c:majorGridlines>
        <c:title>
          <c:tx>
            <c:rich>
              <a:bodyPr rot="0"/>
              <a:lstStyle/>
              <a:p>
                <a:pPr>
                  <a:defRPr b="0" lang="en-US" sz="1000" spc="-1" strike="noStrike">
                    <a:solidFill>
                      <a:srgbClr val="595959"/>
                    </a:solidFill>
                    <a:latin typeface="Calibri"/>
                  </a:defRPr>
                </a:pPr>
                <a:r>
                  <a:rPr b="0" lang="en-US" sz="1000" spc="-1" strike="noStrike">
                    <a:solidFill>
                      <a:srgbClr val="595959"/>
                    </a:solidFill>
                    <a:latin typeface="Calibri"/>
                  </a:rPr>
                  <a:t>u.g.s.</a:t>
                </a:r>
              </a:p>
            </c:rich>
          </c:tx>
          <c:overlay val="0"/>
          <c:spPr>
            <a:noFill/>
            <a:ln w="0">
              <a:noFill/>
            </a:ln>
          </c:spPr>
        </c:title>
        <c:numFmt formatCode="#,##0.0000"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52369486"/>
        <c:crosses val="autoZero"/>
        <c:crossBetween val="midCat"/>
      </c:valAx>
      <c:valAx>
        <c:axId val="52369486"/>
        <c:scaling>
          <c:orientation val="minMax"/>
        </c:scaling>
        <c:delete val="0"/>
        <c:axPos val="l"/>
        <c:majorGridlines>
          <c:spPr>
            <a:ln w="9360">
              <a:solidFill>
                <a:srgbClr val="d9d9d9"/>
              </a:solidFill>
              <a:round/>
            </a:ln>
          </c:spPr>
        </c:majorGridlines>
        <c:title>
          <c:tx>
            <c:rich>
              <a:bodyPr rot="-5400000"/>
              <a:lstStyle/>
              <a:p>
                <a:pPr>
                  <a:defRPr b="0" lang="en-US" sz="1000" spc="-1" strike="noStrike">
                    <a:solidFill>
                      <a:srgbClr val="595959"/>
                    </a:solidFill>
                    <a:latin typeface="Calibri"/>
                  </a:defRPr>
                </a:pPr>
                <a:r>
                  <a:rPr b="0" lang="en-US" sz="1000" spc="-1" strike="noStrike">
                    <a:solidFill>
                      <a:srgbClr val="595959"/>
                    </a:solidFill>
                    <a:latin typeface="Calibri"/>
                  </a:rPr>
                  <a:t>capex / u.g.s.</a:t>
                </a:r>
              </a:p>
            </c:rich>
          </c:tx>
          <c:overlay val="0"/>
          <c:spPr>
            <a:noFill/>
            <a:ln w="0">
              <a:noFill/>
            </a:ln>
          </c:spPr>
        </c:title>
        <c:numFmt formatCode="#,##0.00"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53118520"/>
        <c:crosses val="autoZero"/>
        <c:crossBetween val="midCat"/>
      </c:valAx>
      <c:spPr>
        <a:noFill/>
        <a:ln w="0">
          <a:noFill/>
        </a:ln>
      </c:spPr>
    </c:plotArea>
    <c:plotVisOnly val="1"/>
    <c:dispBlanksAs val="gap"/>
  </c:chart>
  <c:spPr>
    <a:solidFill>
      <a:srgbClr val="ffffff"/>
    </a:solidFill>
    <a:ln w="9360">
      <a:solidFill>
        <a:srgbClr val="d9d9d9"/>
      </a:solidFill>
      <a:round/>
    </a:ln>
  </c:spPr>
</c:chartSpace>
</file>

<file path=xl/charts/chart9.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en-US" sz="1400" spc="-1" strike="noStrike">
                <a:solidFill>
                  <a:srgbClr val="595959"/>
                </a:solidFill>
                <a:latin typeface="Calibri"/>
              </a:defRPr>
            </a:pPr>
            <a:r>
              <a:rPr b="0" lang="en-US" sz="1400" spc="-1" strike="noStrike">
                <a:solidFill>
                  <a:srgbClr val="595959"/>
                </a:solidFill>
                <a:latin typeface="Calibri"/>
              </a:rPr>
              <a:t>Chart Title</a:t>
            </a:r>
          </a:p>
        </c:rich>
      </c:tx>
      <c:overlay val="0"/>
      <c:spPr>
        <a:noFill/>
        <a:ln w="0">
          <a:noFill/>
        </a:ln>
      </c:spPr>
    </c:title>
    <c:autoTitleDeleted val="0"/>
    <c:plotArea>
      <c:scatterChart>
        <c:scatterStyle val="line"/>
        <c:varyColors val="0"/>
        <c:ser>
          <c:idx val="0"/>
          <c:order val="0"/>
          <c:spPr>
            <a:solidFill>
              <a:srgbClr val="5b9bd5"/>
            </a:solidFill>
            <a:ln w="19080">
              <a:solidFill>
                <a:srgbClr val="5b9bd5"/>
              </a:solidFill>
              <a:round/>
            </a:ln>
          </c:spPr>
          <c:marker>
            <c:symbol val="none"/>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Sheet1!$E$47:$E$70</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xVal>
          <c:yVal>
            <c:numRef>
              <c:f>Sheet1!$F$47:$F$70</c:f>
              <c:numCache>
                <c:formatCode>General</c:formatCode>
                <c:ptCount val="24"/>
                <c:pt idx="0">
                  <c:v>0.000818728257794935</c:v>
                </c:pt>
                <c:pt idx="1">
                  <c:v>0.000756798216577893</c:v>
                </c:pt>
                <c:pt idx="2">
                  <c:v>0.000708371994888696</c:v>
                </c:pt>
                <c:pt idx="3">
                  <c:v>0.000682399150133049</c:v>
                </c:pt>
                <c:pt idx="4">
                  <c:v>0.000690493217435264</c:v>
                </c:pt>
                <c:pt idx="5">
                  <c:v>0.000740886996913074</c:v>
                </c:pt>
                <c:pt idx="6">
                  <c:v>0.000822605492679549</c:v>
                </c:pt>
                <c:pt idx="7">
                  <c:v>0.000900079122889474</c:v>
                </c:pt>
                <c:pt idx="8">
                  <c:v>0.000935504662779861</c:v>
                </c:pt>
                <c:pt idx="9">
                  <c:v>0.000922728149624265</c:v>
                </c:pt>
                <c:pt idx="10">
                  <c:v>0.00089431589666692</c:v>
                </c:pt>
                <c:pt idx="11">
                  <c:v>0.000888575420454914</c:v>
                </c:pt>
                <c:pt idx="12">
                  <c:v>0.000910888400420866</c:v>
                </c:pt>
                <c:pt idx="13">
                  <c:v>0.000933822151734981</c:v>
                </c:pt>
                <c:pt idx="14">
                  <c:v>0.000935792448329043</c:v>
                </c:pt>
                <c:pt idx="15">
                  <c:v>0.000931343912885442</c:v>
                </c:pt>
                <c:pt idx="16">
                  <c:v>0.000955814476470829</c:v>
                </c:pt>
                <c:pt idx="17">
                  <c:v>0.0010222171449588</c:v>
                </c:pt>
                <c:pt idx="18">
                  <c:v>0.00110100363902538</c:v>
                </c:pt>
                <c:pt idx="19">
                  <c:v>0.00114509930776469</c:v>
                </c:pt>
                <c:pt idx="20">
                  <c:v>0.00113042099815629</c:v>
                </c:pt>
                <c:pt idx="21">
                  <c:v>0.00106922569666082</c:v>
                </c:pt>
                <c:pt idx="22">
                  <c:v>0.000989943222067303</c:v>
                </c:pt>
                <c:pt idx="23">
                  <c:v>0.000912855763506403</c:v>
                </c:pt>
              </c:numCache>
            </c:numRef>
          </c:yVal>
          <c:smooth val="1"/>
        </c:ser>
        <c:ser>
          <c:idx val="1"/>
          <c:order val="1"/>
          <c:spPr>
            <a:solidFill>
              <a:srgbClr val="ed7d31"/>
            </a:solidFill>
            <a:ln w="19080">
              <a:solidFill>
                <a:srgbClr val="ed7d31"/>
              </a:solidFill>
              <a:round/>
            </a:ln>
          </c:spPr>
          <c:marker>
            <c:symbol val="none"/>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Sheet1!$E$47:$E$71</c:f>
              <c:numCache>
                <c:formatCode>General</c:formatCode>
                <c:ptCount val="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numCache>
            </c:numRef>
          </c:xVal>
          <c:yVal>
            <c:numRef>
              <c:f>Sheet1!$G$47:$G$71</c:f>
              <c:numCache>
                <c:formatCode>General</c:formatCode>
                <c:ptCount val="25"/>
                <c:pt idx="0">
                  <c:v>0.000752718274055475</c:v>
                </c:pt>
                <c:pt idx="1">
                  <c:v>0.000681881690742158</c:v>
                </c:pt>
                <c:pt idx="2">
                  <c:v>0.000629707650090568</c:v>
                </c:pt>
                <c:pt idx="3">
                  <c:v>0.000609552791850868</c:v>
                </c:pt>
                <c:pt idx="4">
                  <c:v>0.000615740335851136</c:v>
                </c:pt>
                <c:pt idx="5">
                  <c:v>0.000632290518285256</c:v>
                </c:pt>
                <c:pt idx="6">
                  <c:v>0.000648841814720184</c:v>
                </c:pt>
                <c:pt idx="7">
                  <c:v>0.000667814869839918</c:v>
                </c:pt>
                <c:pt idx="8">
                  <c:v>0.000696522028115256</c:v>
                </c:pt>
                <c:pt idx="9">
                  <c:v>0.00073370707799173</c:v>
                </c:pt>
                <c:pt idx="10">
                  <c:v>0.000765749492075331</c:v>
                </c:pt>
                <c:pt idx="11">
                  <c:v>0.000777621530263667</c:v>
                </c:pt>
                <c:pt idx="12">
                  <c:v>0.000768043906061638</c:v>
                </c:pt>
                <c:pt idx="13">
                  <c:v>0.000753218385585836</c:v>
                </c:pt>
                <c:pt idx="14">
                  <c:v>0.000754392019976381</c:v>
                </c:pt>
                <c:pt idx="15">
                  <c:v>0.000780478373986033</c:v>
                </c:pt>
                <c:pt idx="16">
                  <c:v>0.000821926410523459</c:v>
                </c:pt>
                <c:pt idx="17">
                  <c:v>0.000860959205942782</c:v>
                </c:pt>
                <c:pt idx="18">
                  <c:v>0.000887349293103224</c:v>
                </c:pt>
                <c:pt idx="19">
                  <c:v>0.000904079739956004</c:v>
                </c:pt>
                <c:pt idx="20">
                  <c:v>0.000918233180460897</c:v>
                </c:pt>
                <c:pt idx="21">
                  <c:v>0.000927889457484585</c:v>
                </c:pt>
                <c:pt idx="22">
                  <c:v>0.000919892414742341</c:v>
                </c:pt>
                <c:pt idx="23">
                  <c:v>0.000881913324938038</c:v>
                </c:pt>
                <c:pt idx="24">
                  <c:v>0.000817010616193481</c:v>
                </c:pt>
              </c:numCache>
            </c:numRef>
          </c:yVal>
          <c:smooth val="1"/>
        </c:ser>
        <c:axId val="50189561"/>
        <c:axId val="15579726"/>
      </c:scatterChart>
      <c:valAx>
        <c:axId val="50189561"/>
        <c:scaling>
          <c:orientation val="minMax"/>
        </c:scaling>
        <c:delete val="0"/>
        <c:axPos val="b"/>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15579726"/>
        <c:crosses val="autoZero"/>
        <c:crossBetween val="midCat"/>
      </c:valAx>
      <c:valAx>
        <c:axId val="15579726"/>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50189561"/>
        <c:crosses val="autoZero"/>
        <c:crossBetween val="midCat"/>
      </c:valAx>
      <c:spPr>
        <a:noFill/>
        <a:ln w="0">
          <a:noFill/>
        </a:ln>
      </c:spPr>
    </c:plotArea>
    <c:plotVisOnly val="1"/>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
</Relationships>
</file>

<file path=xl/drawings/_rels/drawing2.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
</Relationships>
</file>

<file path=xl/drawings/_rels/drawing3.xml.rels><?xml version="1.0" encoding="UTF-8"?>
<Relationships xmlns="http://schemas.openxmlformats.org/package/2006/relationships"><Relationship Id="rId1" Type="http://schemas.openxmlformats.org/officeDocument/2006/relationships/image" Target="../media/image3.png"/>
</Relationships>
</file>

<file path=xl/drawings/_rels/drawing4.xml.rels><?xml version="1.0" encoding="UTF-8"?>
<Relationships xmlns="http://schemas.openxmlformats.org/package/2006/relationships"><Relationship Id="rId1" Type="http://schemas.openxmlformats.org/officeDocument/2006/relationships/image" Target="../media/image4.png"/>
</Relationships>
</file>

<file path=xl/drawings/_rels/drawing5.xml.rels><?xml version="1.0" encoding="UTF-8"?>
<Relationships xmlns="http://schemas.openxmlformats.org/package/2006/relationships"><Relationship Id="rId1" Type="http://schemas.openxmlformats.org/officeDocument/2006/relationships/chart" Target="../charts/chart8.xml"/>
</Relationships>
</file>

<file path=xl/drawings/_rels/drawing6.xml.rels><?xml version="1.0" encoding="UTF-8"?>
<Relationships xmlns="http://schemas.openxmlformats.org/package/2006/relationships"><Relationship Id="rId1" Type="http://schemas.openxmlformats.org/officeDocument/2006/relationships/chart" Target="../charts/chart9.xml"/><Relationship Id="rId2" Type="http://schemas.openxmlformats.org/officeDocument/2006/relationships/image" Target="../media/image5.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0</xdr:colOff>
      <xdr:row>21</xdr:row>
      <xdr:rowOff>0</xdr:rowOff>
    </xdr:from>
    <xdr:to>
      <xdr:col>8</xdr:col>
      <xdr:colOff>29880</xdr:colOff>
      <xdr:row>25</xdr:row>
      <xdr:rowOff>6480</xdr:rowOff>
    </xdr:to>
    <xdr:pic>
      <xdr:nvPicPr>
        <xdr:cNvPr id="0" name="Picture 1" descr=""/>
        <xdr:cNvPicPr/>
      </xdr:nvPicPr>
      <xdr:blipFill>
        <a:blip r:embed="rId1"/>
        <a:stretch/>
      </xdr:blipFill>
      <xdr:spPr>
        <a:xfrm>
          <a:off x="2268720" y="4619520"/>
          <a:ext cx="3811320" cy="978120"/>
        </a:xfrm>
        <a:prstGeom prst="rect">
          <a:avLst/>
        </a:prstGeom>
        <a:ln w="0">
          <a:noFill/>
        </a:ln>
      </xdr:spPr>
    </xdr:pic>
    <xdr:clientData/>
  </xdr:twoCellAnchor>
  <xdr:twoCellAnchor editAs="twoCell">
    <xdr:from>
      <xdr:col>1</xdr:col>
      <xdr:colOff>15120</xdr:colOff>
      <xdr:row>1</xdr:row>
      <xdr:rowOff>7560</xdr:rowOff>
    </xdr:from>
    <xdr:to>
      <xdr:col>12</xdr:col>
      <xdr:colOff>2880</xdr:colOff>
      <xdr:row>14</xdr:row>
      <xdr:rowOff>132480</xdr:rowOff>
    </xdr:to>
    <xdr:sp>
      <xdr:nvSpPr>
        <xdr:cNvPr id="1" name="CustomShape 1"/>
        <xdr:cNvSpPr/>
      </xdr:nvSpPr>
      <xdr:spPr>
        <a:xfrm>
          <a:off x="771480" y="198000"/>
          <a:ext cx="8929080" cy="2601360"/>
        </a:xfrm>
        <a:prstGeom prst="rect">
          <a:avLst/>
        </a:prstGeom>
        <a:noFill/>
        <a:ln w="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nSpc>
              <a:spcPct val="100000"/>
            </a:lnSpc>
          </a:pPr>
          <a:r>
            <a:rPr b="1" lang="en-US" sz="1400" spc="-1" strike="noStrike" u="sng">
              <a:solidFill>
                <a:srgbClr val="000000"/>
              </a:solidFill>
              <a:uFillTx/>
              <a:latin typeface="Calibri"/>
            </a:rPr>
            <a:t>Introduction</a:t>
          </a:r>
          <a:endParaRPr b="0" lang="en-US" sz="1400" spc="-1" strike="noStrike">
            <a:latin typeface="Times New Roman"/>
          </a:endParaRPr>
        </a:p>
        <a:p>
          <a:pPr>
            <a:lnSpc>
              <a:spcPct val="100000"/>
            </a:lnSpc>
          </a:pPr>
          <a:endParaRPr b="0" lang="en-US" sz="1400" spc="-1" strike="noStrike">
            <a:latin typeface="Times New Roman"/>
          </a:endParaRPr>
        </a:p>
        <a:p>
          <a:pPr>
            <a:lnSpc>
              <a:spcPct val="100000"/>
            </a:lnSpc>
          </a:pPr>
          <a:r>
            <a:rPr b="0" lang="en-US" sz="1100" spc="-1" strike="noStrike">
              <a:solidFill>
                <a:srgbClr val="ffffff"/>
              </a:solidFill>
              <a:latin typeface="Calibri"/>
            </a:rPr>
            <a:t>The Library is built on a component-based approach. It is not a user input. But it is an input to the solver.</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The component-based approach has benefits and drawbacks, one of the drawbacks being, that it limits (somewhat) the level of detail of the LCA/LCC analysis. This could be solved in the future by creating three discrete libraries, one containing the performance-realated quantities of each component category, with the other two being dedicated for LCA and LCC respectively.</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All columns must be filled with values in order for the solver to work. But, there are some columns that have easy default values, as shall be explained below.</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(i put this here to be visible. after finishing this, also:) </a:t>
          </a:r>
          <a:r>
            <a:rPr b="1" lang="en-US" sz="1100" spc="-1" strike="noStrike">
              <a:solidFill>
                <a:srgbClr val="ffffff"/>
              </a:solidFill>
              <a:latin typeface="Calibri"/>
            </a:rPr>
            <a:t>Read the *readme cell in each tab.</a:t>
          </a:r>
          <a:endParaRPr b="0" lang="en-US" sz="1100" spc="-1" strike="noStrike">
            <a:latin typeface="Times New Roman"/>
          </a:endParaRPr>
        </a:p>
      </xdr:txBody>
    </xdr:sp>
    <xdr:clientData/>
  </xdr:twoCellAnchor>
  <xdr:twoCellAnchor editAs="absolute">
    <xdr:from>
      <xdr:col>1</xdr:col>
      <xdr:colOff>11520</xdr:colOff>
      <xdr:row>15</xdr:row>
      <xdr:rowOff>60840</xdr:rowOff>
    </xdr:from>
    <xdr:to>
      <xdr:col>12</xdr:col>
      <xdr:colOff>10800</xdr:colOff>
      <xdr:row>49</xdr:row>
      <xdr:rowOff>94320</xdr:rowOff>
    </xdr:to>
    <xdr:sp>
      <xdr:nvSpPr>
        <xdr:cNvPr id="2" name="CustomShape 1"/>
        <xdr:cNvSpPr/>
      </xdr:nvSpPr>
      <xdr:spPr>
        <a:xfrm>
          <a:off x="767880" y="2918520"/>
          <a:ext cx="8940600" cy="7338960"/>
        </a:xfrm>
        <a:prstGeom prst="rect">
          <a:avLst/>
        </a:prstGeom>
        <a:noFill/>
        <a:ln w="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nSpc>
              <a:spcPct val="100000"/>
            </a:lnSpc>
          </a:pPr>
          <a:r>
            <a:rPr b="1" lang="en-US" sz="1400" spc="-1" strike="noStrike" u="sng">
              <a:solidFill>
                <a:srgbClr val="000000"/>
              </a:solidFill>
              <a:uFillTx/>
              <a:latin typeface="Calibri"/>
            </a:rPr>
            <a:t>Structure of Each tab</a:t>
          </a:r>
          <a:endParaRPr b="0" lang="en-US" sz="1400" spc="-1" strike="noStrike">
            <a:latin typeface="Times New Roman"/>
          </a:endParaRPr>
        </a:p>
        <a:p>
          <a:pPr>
            <a:lnSpc>
              <a:spcPct val="100000"/>
            </a:lnSpc>
          </a:pPr>
          <a:endParaRPr b="0" lang="en-US" sz="1400" spc="-1" strike="noStrike">
            <a:latin typeface="Times New Roman"/>
          </a:endParaRPr>
        </a:p>
        <a:p>
          <a:pPr>
            <a:lnSpc>
              <a:spcPct val="100000"/>
            </a:lnSpc>
          </a:pPr>
          <a:r>
            <a:rPr b="0" lang="en-US" sz="1100" spc="-1" strike="noStrike">
              <a:solidFill>
                <a:srgbClr val="ffffff"/>
              </a:solidFill>
              <a:latin typeface="Calibri"/>
            </a:rPr>
            <a:t>Each tab contains equipment of similar nature. This is common sense, but also necessary, because all components in each tab must share the same properties (from a categorical perspective, not (neccesarily) the same values).</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Before describing the columns of each tab, first some initial remarks:</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(After reading the column description on the right:)</a:t>
          </a:r>
          <a:endParaRPr b="0" lang="en-US" sz="1100" spc="-1" strike="noStrike">
            <a:latin typeface="Times New Roman"/>
          </a:endParaRPr>
        </a:p>
        <a:p>
          <a:pPr>
            <a:lnSpc>
              <a:spcPct val="100000"/>
            </a:lnSpc>
          </a:pPr>
          <a:r>
            <a:rPr b="1" lang="en-US" sz="1100" spc="-1" strike="noStrike">
              <a:solidFill>
                <a:srgbClr val="ffffff"/>
              </a:solidFill>
              <a:latin typeface="Calibri"/>
            </a:rPr>
            <a:t>Note</a:t>
          </a:r>
          <a:r>
            <a:rPr b="0" lang="en-US" sz="1100" spc="-1" strike="noStrike">
              <a:solidFill>
                <a:srgbClr val="ffffff"/>
              </a:solidFill>
              <a:latin typeface="Calibri"/>
            </a:rPr>
            <a:t>: I concentrated more on financial and less in environmental parameters. e.g. major_upg_point, mj_upg_cost, infr_share, dismantle_share, intangible assets, all refer to financial units. One could include the same paramters for CO2 and PE. But the columns would get too many for now. In my opinion (as stated in the beginning) in order to really dive into LCA, you need a separeta LCA-only library.</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1" lang="en-US" sz="1100" spc="-1" strike="noStrike">
              <a:solidFill>
                <a:srgbClr val="ffffff"/>
              </a:solidFill>
              <a:latin typeface="Calibri"/>
            </a:rPr>
            <a:t>Other columns (tab-specific):</a:t>
          </a:r>
          <a:endParaRPr b="0" lang="en-US" sz="1100" spc="-1" strike="noStrike">
            <a:latin typeface="Times New Roman"/>
          </a:endParaRPr>
        </a:p>
        <a:p>
          <a:pPr>
            <a:lnSpc>
              <a:spcPct val="100000"/>
            </a:lnSpc>
          </a:pPr>
          <a:r>
            <a:rPr b="0" lang="en-US" sz="1100" spc="-1" strike="noStrike">
              <a:solidFill>
                <a:srgbClr val="ffffff"/>
              </a:solidFill>
              <a:latin typeface="Calibri"/>
            </a:rPr>
            <a:t>These mostly refer to performance and thus they differ from category to category. They're pretty straight-forward, but they are documented in each tab. </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xdr:txBody>
    </xdr:sp>
    <xdr:clientData/>
  </xdr:twoCellAnchor>
  <xdr:twoCellAnchor editAs="absolute">
    <xdr:from>
      <xdr:col>2</xdr:col>
      <xdr:colOff>33480</xdr:colOff>
      <xdr:row>20</xdr:row>
      <xdr:rowOff>565200</xdr:rowOff>
    </xdr:from>
    <xdr:to>
      <xdr:col>11</xdr:col>
      <xdr:colOff>495000</xdr:colOff>
      <xdr:row>29</xdr:row>
      <xdr:rowOff>42120</xdr:rowOff>
    </xdr:to>
    <xdr:sp>
      <xdr:nvSpPr>
        <xdr:cNvPr id="3" name="CustomShape 1"/>
        <xdr:cNvSpPr/>
      </xdr:nvSpPr>
      <xdr:spPr>
        <a:xfrm>
          <a:off x="1546200" y="4375080"/>
          <a:ext cx="7268040" cy="2020320"/>
        </a:xfrm>
        <a:prstGeom prst="rect">
          <a:avLst/>
        </a:prstGeom>
        <a:solidFill>
          <a:srgbClr val="ffffff"/>
        </a:solidFill>
        <a:ln w="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nSpc>
              <a:spcPct val="100000"/>
            </a:lnSpc>
          </a:pPr>
          <a:r>
            <a:rPr b="0" lang="en-US" sz="1100" spc="-1" strike="noStrike">
              <a:solidFill>
                <a:srgbClr val="000000"/>
              </a:solidFill>
              <a:latin typeface="Calibri"/>
            </a:rPr>
            <a:t> </a:t>
          </a:r>
          <a:r>
            <a:rPr b="0" lang="en-US" sz="1100" spc="-1" strike="noStrike">
              <a:solidFill>
                <a:srgbClr val="000000"/>
              </a:solidFill>
              <a:latin typeface="Calibri"/>
            </a:rPr>
            <a:t>Each tab / class of components. has a different unit of measure. e.g. Electric Generators are described by their installed power (so, kW/MW, etc), electric storage by kWh, insulation materials by m2 or m3, etc.</a:t>
          </a:r>
          <a:endParaRPr b="0" lang="en-US" sz="1100" spc="-1" strike="noStrike">
            <a:latin typeface="Times New Roman"/>
          </a:endParaRPr>
        </a:p>
        <a:p>
          <a:pPr>
            <a:lnSpc>
              <a:spcPct val="100000"/>
            </a:lnSpc>
          </a:pPr>
          <a:r>
            <a:rPr b="0" lang="en-US" sz="1100" spc="-1" strike="noStrike">
              <a:solidFill>
                <a:srgbClr val="000000"/>
              </a:solidFill>
              <a:latin typeface="Calibri"/>
            </a:rPr>
            <a:t>So, when we express a quantity (e.g. capex) per U N I T, we don't mean the capex that one heatpump costs, but the relative capex that one unit power of that unit (heatpump) costs. (e.g. a 10kW heatpump, may have a relative capex of (silly) 10(e) / kW, which will make that heatpump amount to 100(e) absolute. So, when we say unit, we mean each unit's (component's) unit.</a:t>
          </a:r>
          <a:endParaRPr b="0" lang="en-US" sz="1100" spc="-1" strike="noStrike">
            <a:latin typeface="Times New Roman"/>
          </a:endParaRPr>
        </a:p>
        <a:p>
          <a:pPr>
            <a:lnSpc>
              <a:spcPct val="100000"/>
            </a:lnSpc>
          </a:pPr>
          <a:r>
            <a:rPr b="1" lang="en-US" sz="1200" spc="-1" strike="noStrike">
              <a:solidFill>
                <a:srgbClr val="000000"/>
              </a:solidFill>
              <a:latin typeface="Calibri"/>
            </a:rPr>
            <a:t>This will be denoted with u.g.s. (Units of generalized "Size")</a:t>
          </a:r>
          <a:endParaRPr b="0" lang="en-US" sz="1200" spc="-1" strike="noStrike">
            <a:latin typeface="Times New Roman"/>
          </a:endParaRPr>
        </a:p>
        <a:p>
          <a:pPr>
            <a:lnSpc>
              <a:spcPct val="100000"/>
            </a:lnSpc>
          </a:pPr>
          <a:r>
            <a:rPr b="1" lang="en-US" sz="1200" spc="-1" strike="noStrike">
              <a:solidFill>
                <a:srgbClr val="000000"/>
              </a:solidFill>
              <a:latin typeface="Calibri"/>
            </a:rPr>
            <a:t>This quantity is declared at the top left of each tab.</a:t>
          </a: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absolute">
    <xdr:from>
      <xdr:col>2</xdr:col>
      <xdr:colOff>0</xdr:colOff>
      <xdr:row>30</xdr:row>
      <xdr:rowOff>720</xdr:rowOff>
    </xdr:from>
    <xdr:to>
      <xdr:col>11</xdr:col>
      <xdr:colOff>461520</xdr:colOff>
      <xdr:row>35</xdr:row>
      <xdr:rowOff>1440</xdr:rowOff>
    </xdr:to>
    <xdr:sp>
      <xdr:nvSpPr>
        <xdr:cNvPr id="4" name="CustomShape 1"/>
        <xdr:cNvSpPr/>
      </xdr:nvSpPr>
      <xdr:spPr>
        <a:xfrm>
          <a:off x="1512720" y="6544440"/>
          <a:ext cx="7268040" cy="953280"/>
        </a:xfrm>
        <a:prstGeom prst="rect">
          <a:avLst/>
        </a:prstGeom>
        <a:solidFill>
          <a:srgbClr val="ffffff"/>
        </a:solidFill>
        <a:ln w="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nSpc>
              <a:spcPct val="100000"/>
            </a:lnSpc>
            <a:tabLst>
              <a:tab algn="l" pos="0"/>
            </a:tabLst>
          </a:pPr>
          <a:r>
            <a:rPr b="0" lang="en-US" sz="1100" spc="-1" strike="noStrike">
              <a:solidFill>
                <a:srgbClr val="000000"/>
              </a:solidFill>
              <a:latin typeface="Calibri"/>
            </a:rPr>
            <a:t>- In the description on the right, some quantities are expressed as percentage. Note that, dor these columns, the corresponding excel cells are formatted as percentages too (which for excel it means that the real value is /100, but just show it 100 bigger). So, when I read externally the file, excel just gives the decimal (/100) value. Keep that in mind in case of possible extension of the library.</a:t>
          </a:r>
          <a:endParaRPr b="0" lang="en-US" sz="1100" spc="-1" strike="noStrike">
            <a:latin typeface="Times New Roman"/>
          </a:endParaRPr>
        </a:p>
        <a:p>
          <a:pPr>
            <a:lnSpc>
              <a:spcPct val="100000"/>
            </a:lnSpc>
            <a:tabLst>
              <a:tab algn="l" pos="0"/>
            </a:tabLst>
          </a:pPr>
          <a:endParaRPr b="0" lang="en-US" sz="1100" spc="-1" strike="noStrike">
            <a:latin typeface="Times New Roman"/>
          </a:endParaRPr>
        </a:p>
      </xdr:txBody>
    </xdr:sp>
    <xdr:clientData/>
  </xdr:twoCellAnchor>
  <xdr:twoCellAnchor editAs="absolute">
    <xdr:from>
      <xdr:col>13</xdr:col>
      <xdr:colOff>15120</xdr:colOff>
      <xdr:row>37</xdr:row>
      <xdr:rowOff>173520</xdr:rowOff>
    </xdr:from>
    <xdr:to>
      <xdr:col>15</xdr:col>
      <xdr:colOff>2709720</xdr:colOff>
      <xdr:row>63</xdr:row>
      <xdr:rowOff>140400</xdr:rowOff>
    </xdr:to>
    <xdr:sp>
      <xdr:nvSpPr>
        <xdr:cNvPr id="5" name="CustomShape 1"/>
        <xdr:cNvSpPr/>
      </xdr:nvSpPr>
      <xdr:spPr>
        <a:xfrm>
          <a:off x="11358000" y="8050680"/>
          <a:ext cx="6621480" cy="4919760"/>
        </a:xfrm>
        <a:prstGeom prst="rect">
          <a:avLst/>
        </a:prstGeom>
        <a:solidFill>
          <a:srgbClr val="ffffff"/>
        </a:solidFill>
        <a:ln w="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nSpc>
              <a:spcPct val="100000"/>
            </a:lnSpc>
          </a:pPr>
          <a:r>
            <a:rPr b="1" lang="en-US" sz="1100" spc="-1" strike="noStrike">
              <a:solidFill>
                <a:srgbClr val="000000"/>
              </a:solidFill>
              <a:latin typeface="Calibri"/>
            </a:rPr>
            <a:t>Power Scaling</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000000"/>
              </a:solidFill>
              <a:latin typeface="Calibri"/>
            </a:rPr>
            <a:t>Let's say I have three PV systems. One is 10kW, one 1MW, one 10MW.</a:t>
          </a:r>
          <a:endParaRPr b="0" lang="en-US" sz="1100" spc="-1" strike="noStrike">
            <a:latin typeface="Times New Roman"/>
          </a:endParaRPr>
        </a:p>
        <a:p>
          <a:pPr>
            <a:lnSpc>
              <a:spcPct val="100000"/>
            </a:lnSpc>
          </a:pPr>
          <a:r>
            <a:rPr b="0" lang="en-US" sz="1100" spc="-1" strike="noStrike">
              <a:solidFill>
                <a:srgbClr val="000000"/>
              </a:solidFill>
              <a:latin typeface="Calibri"/>
            </a:rPr>
            <a:t>I calculate the total capital expenditures for each to be: 10,000 (e) , 800,000 (e) and 7,000,000 (e).</a:t>
          </a:r>
          <a:endParaRPr b="0" lang="en-US" sz="1100" spc="-1" strike="noStrike">
            <a:latin typeface="Times New Roman"/>
          </a:endParaRPr>
        </a:p>
        <a:p>
          <a:pPr>
            <a:lnSpc>
              <a:spcPct val="100000"/>
            </a:lnSpc>
          </a:pPr>
          <a:r>
            <a:rPr b="0" lang="en-US" sz="1100" spc="-1" strike="noStrike">
              <a:solidFill>
                <a:srgbClr val="000000"/>
              </a:solidFill>
              <a:latin typeface="Calibri"/>
            </a:rPr>
            <a:t>So, the relative capex (capex / u.g.s.) = [1000 e/kW, 800 e/kW, 700 e/kW].</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000000"/>
              </a:solidFill>
              <a:latin typeface="Calibri"/>
            </a:rPr>
            <a:t>So the relative capex is not constant. </a:t>
          </a:r>
          <a:endParaRPr b="0" lang="en-US" sz="1100" spc="-1" strike="noStrike">
            <a:latin typeface="Times New Roman"/>
          </a:endParaRPr>
        </a:p>
        <a:p>
          <a:pPr>
            <a:lnSpc>
              <a:spcPct val="100000"/>
            </a:lnSpc>
          </a:pPr>
          <a:r>
            <a:rPr b="0" lang="en-US" sz="1100" spc="-1" strike="noStrike">
              <a:solidFill>
                <a:srgbClr val="000000"/>
              </a:solidFill>
              <a:latin typeface="Calibri"/>
            </a:rPr>
            <a:t>Select arbirtrarily a Pref. I set Pref &lt;- 10 kW.</a:t>
          </a:r>
          <a:endParaRPr b="0" lang="en-US" sz="1100" spc="-1" strike="noStrike">
            <a:latin typeface="Times New Roman"/>
          </a:endParaRPr>
        </a:p>
        <a:p>
          <a:pPr>
            <a:lnSpc>
              <a:spcPct val="100000"/>
            </a:lnSpc>
          </a:pPr>
          <a:r>
            <a:rPr b="0" lang="en-US" sz="1100" spc="-1" strike="noStrike">
              <a:solidFill>
                <a:srgbClr val="000000"/>
              </a:solidFill>
              <a:latin typeface="Calibri"/>
            </a:rPr>
            <a:t>Make a x-column consisting of values: Pref / Psample</a:t>
          </a:r>
          <a:endParaRPr b="0" lang="en-US" sz="1100" spc="-1" strike="noStrike">
            <a:latin typeface="Times New Roman"/>
          </a:endParaRPr>
        </a:p>
        <a:p>
          <a:pPr>
            <a:lnSpc>
              <a:spcPct val="100000"/>
            </a:lnSpc>
          </a:pPr>
          <a:r>
            <a:rPr b="0" lang="en-US" sz="1100" spc="-1" strike="noStrike">
              <a:solidFill>
                <a:srgbClr val="000000"/>
              </a:solidFill>
              <a:latin typeface="Calibri"/>
            </a:rPr>
            <a:t>And a y-columns of each sample's capex / u.g.s.</a:t>
          </a:r>
          <a:endParaRPr b="0" lang="en-US" sz="1100" spc="-1" strike="noStrike">
            <a:latin typeface="Times New Roman"/>
          </a:endParaRPr>
        </a:p>
        <a:p>
          <a:pPr>
            <a:lnSpc>
              <a:spcPct val="100000"/>
            </a:lnSpc>
          </a:pPr>
          <a:r>
            <a:rPr b="0" lang="en-US" sz="1100" spc="-1" strike="noStrike">
              <a:solidFill>
                <a:srgbClr val="000000"/>
              </a:solidFill>
              <a:latin typeface="Calibri"/>
            </a:rPr>
            <a:t>Plot them (in excel,. why not) and get a power trendline fit.</a:t>
          </a:r>
          <a:endParaRPr b="0" lang="en-US" sz="1100" spc="-1" strike="noStrike">
            <a:latin typeface="Times New Roman"/>
          </a:endParaRPr>
        </a:p>
        <a:p>
          <a:pPr>
            <a:lnSpc>
              <a:spcPct val="100000"/>
            </a:lnSpc>
          </a:pPr>
          <a:r>
            <a:rPr b="0" lang="en-US" sz="1100" spc="-1" strike="noStrike">
              <a:solidFill>
                <a:srgbClr val="000000"/>
              </a:solidFill>
              <a:latin typeface="Calibri"/>
            </a:rPr>
            <a:t>The equation will be y = Co * x ** </a:t>
          </a:r>
          <a:r>
            <a:rPr b="0" lang="el-GR" sz="1100" spc="-1" strike="noStrike">
              <a:solidFill>
                <a:srgbClr val="000000"/>
              </a:solidFill>
              <a:latin typeface="Calibri"/>
            </a:rPr>
            <a:t>α</a:t>
          </a:r>
          <a:endParaRPr b="0" lang="en-US" sz="1100" spc="-1" strike="noStrike">
            <a:latin typeface="Times New Roman"/>
          </a:endParaRPr>
        </a:p>
        <a:p>
          <a:pPr>
            <a:lnSpc>
              <a:spcPct val="100000"/>
            </a:lnSpc>
          </a:pPr>
          <a:r>
            <a:rPr b="0" lang="en-US" sz="1100" spc="-1" strike="noStrike">
              <a:solidFill>
                <a:srgbClr val="000000"/>
              </a:solidFill>
              <a:latin typeface="Calibri"/>
            </a:rPr>
            <a:t>This </a:t>
          </a:r>
          <a:r>
            <a:rPr b="0" lang="el-GR" sz="1100" spc="-1" strike="noStrike">
              <a:solidFill>
                <a:srgbClr val="000000"/>
              </a:solidFill>
              <a:latin typeface="Calibri"/>
            </a:rPr>
            <a:t>α, </a:t>
          </a:r>
          <a:r>
            <a:rPr b="0" lang="en-US" sz="1100" spc="-1" strike="noStrike">
              <a:solidFill>
                <a:srgbClr val="000000"/>
              </a:solidFill>
              <a:latin typeface="Calibri"/>
            </a:rPr>
            <a:t>is your scale_cost</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000000"/>
              </a:solidFill>
              <a:latin typeface="Calibri"/>
            </a:rPr>
            <a:t>The same for scale_env. This scales the environmental (embodied_PE and CO2)</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000000"/>
              </a:solidFill>
              <a:latin typeface="Calibri"/>
            </a:rPr>
            <a:t>Needless to say, if you set the exponent equal to zero, then it is just linear. Which means all scales have the same RELATIVE capex  (same capex / u.g.s.)</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1" lang="en-US" sz="1100" spc="-1" strike="noStrike">
              <a:solidFill>
                <a:srgbClr val="000000"/>
              </a:solidFill>
              <a:latin typeface="Calibri"/>
            </a:rPr>
            <a:t>There is an already made setup in the "Help" Tab of this excell workbook.</a:t>
          </a:r>
          <a:endParaRPr b="0" lang="en-US" sz="1100" spc="-1" strike="noStrike">
            <a:latin typeface="Times New Roman"/>
          </a:endParaRPr>
        </a:p>
        <a:p>
          <a:pPr>
            <a:lnSpc>
              <a:spcPct val="100000"/>
            </a:lnSpc>
          </a:pPr>
          <a:endParaRPr b="0" lang="en-US" sz="1100" spc="-1" strike="noStrike">
            <a:latin typeface="Times New Roman"/>
          </a:endParaRPr>
        </a:p>
      </xdr:txBody>
    </xdr:sp>
    <xdr:clientData/>
  </xdr:twoCellAnchor>
  <xdr:twoCellAnchor editAs="absolute">
    <xdr:from>
      <xdr:col>14</xdr:col>
      <xdr:colOff>139680</xdr:colOff>
      <xdr:row>50</xdr:row>
      <xdr:rowOff>30600</xdr:rowOff>
    </xdr:from>
    <xdr:to>
      <xdr:col>15</xdr:col>
      <xdr:colOff>2298240</xdr:colOff>
      <xdr:row>54</xdr:row>
      <xdr:rowOff>56520</xdr:rowOff>
    </xdr:to>
    <xdr:pic>
      <xdr:nvPicPr>
        <xdr:cNvPr id="6" name="Picture 9" descr=""/>
        <xdr:cNvPicPr/>
      </xdr:nvPicPr>
      <xdr:blipFill>
        <a:blip r:embed="rId2"/>
        <a:stretch/>
      </xdr:blipFill>
      <xdr:spPr>
        <a:xfrm>
          <a:off x="14016960" y="10384200"/>
          <a:ext cx="3551040" cy="788040"/>
        </a:xfrm>
        <a:prstGeom prst="rect">
          <a:avLst/>
        </a:prstGeom>
        <a:ln w="12600">
          <a:solidFill>
            <a:srgbClr val="ffffff"/>
          </a:solidFill>
          <a:round/>
        </a:ln>
      </xdr:spPr>
    </xdr:pic>
    <xdr:clientData/>
  </xdr:twoCellAnchor>
  <xdr:twoCellAnchor editAs="twoCell">
    <xdr:from>
      <xdr:col>12</xdr:col>
      <xdr:colOff>15120</xdr:colOff>
      <xdr:row>26</xdr:row>
      <xdr:rowOff>6480</xdr:rowOff>
    </xdr:from>
    <xdr:to>
      <xdr:col>12</xdr:col>
      <xdr:colOff>1176480</xdr:colOff>
      <xdr:row>30</xdr:row>
      <xdr:rowOff>148320</xdr:rowOff>
    </xdr:to>
    <xdr:sp>
      <xdr:nvSpPr>
        <xdr:cNvPr id="7" name="CustomShape 1"/>
        <xdr:cNvSpPr/>
      </xdr:nvSpPr>
      <xdr:spPr>
        <a:xfrm flipV="1">
          <a:off x="9712800" y="5787720"/>
          <a:ext cx="1161360" cy="903960"/>
        </a:xfrm>
        <a:custGeom>
          <a:avLst/>
          <a:gdLst/>
          <a:ahLst/>
          <a:rect l="l" t="t" r="r" b="b"/>
          <a:pathLst>
            <a:path w="21600" h="21600">
              <a:moveTo>
                <a:pt x="0" y="0"/>
              </a:moveTo>
              <a:lnTo>
                <a:pt x="21600" y="21600"/>
              </a:lnTo>
            </a:path>
          </a:pathLst>
        </a:custGeom>
        <a:noFill/>
        <a:ln w="38160">
          <a:solidFill>
            <a:srgbClr val="ffffff"/>
          </a:solidFill>
          <a:round/>
          <a:tailEnd len="med" type="triangle" w="med"/>
        </a:ln>
      </xdr:spPr>
      <xdr:style>
        <a:lnRef idx="1">
          <a:schemeClr val="accent1"/>
        </a:lnRef>
        <a:fillRef idx="0">
          <a:schemeClr val="accent1"/>
        </a:fillRef>
        <a:effectRef idx="0">
          <a:schemeClr val="accent1"/>
        </a:effectRef>
        <a:fontRef idx="minor"/>
      </xdr:style>
    </xdr:sp>
    <xdr:clientData/>
  </xdr:twoCellAnchor>
  <xdr:twoCellAnchor editAs="twoCell">
    <xdr:from>
      <xdr:col>1</xdr:col>
      <xdr:colOff>15120</xdr:colOff>
      <xdr:row>73</xdr:row>
      <xdr:rowOff>23040</xdr:rowOff>
    </xdr:from>
    <xdr:to>
      <xdr:col>12</xdr:col>
      <xdr:colOff>2880</xdr:colOff>
      <xdr:row>101</xdr:row>
      <xdr:rowOff>41400</xdr:rowOff>
    </xdr:to>
    <xdr:sp>
      <xdr:nvSpPr>
        <xdr:cNvPr id="8" name="CustomShape 1"/>
        <xdr:cNvSpPr/>
      </xdr:nvSpPr>
      <xdr:spPr>
        <a:xfrm>
          <a:off x="771480" y="14758200"/>
          <a:ext cx="8929080" cy="5352480"/>
        </a:xfrm>
        <a:prstGeom prst="rect">
          <a:avLst/>
        </a:prstGeom>
        <a:noFill/>
        <a:ln w="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nSpc>
              <a:spcPct val="100000"/>
            </a:lnSpc>
          </a:pPr>
          <a:r>
            <a:rPr b="1" lang="en-US" sz="1400" spc="-1" strike="noStrike" u="sng">
              <a:solidFill>
                <a:srgbClr val="000000"/>
              </a:solidFill>
              <a:uFillTx/>
              <a:latin typeface="Calibri"/>
            </a:rPr>
            <a:t>Expansion</a:t>
          </a:r>
          <a:endParaRPr b="0" lang="en-US" sz="1400" spc="-1" strike="noStrike">
            <a:latin typeface="Times New Roman"/>
          </a:endParaRPr>
        </a:p>
        <a:p>
          <a:pPr>
            <a:lnSpc>
              <a:spcPct val="100000"/>
            </a:lnSpc>
          </a:pPr>
          <a:endParaRPr b="0" lang="en-US" sz="1400" spc="-1" strike="noStrike">
            <a:latin typeface="Times New Roman"/>
          </a:endParaRPr>
        </a:p>
        <a:p>
          <a:pPr>
            <a:lnSpc>
              <a:spcPct val="100000"/>
            </a:lnSpc>
          </a:pPr>
          <a:r>
            <a:rPr b="0" lang="en-US" sz="1100" spc="-1" strike="noStrike">
              <a:solidFill>
                <a:srgbClr val="ffffff"/>
              </a:solidFill>
              <a:latin typeface="Calibri"/>
            </a:rPr>
            <a:t>In order to expand the library, you can just add rows on each tab. They don't have to be ordered in a specific manner. The library-reader script, automatically reads the extra rows and loads them in the solver. The non-numerical values of the new components (e.g. type, sub type, etc.) should generally be the same with the ones given as input by the user. But, there is a similarity algorithm in hand, which eitherway searches for the best match. (The library reader, reads until line 17 in each tab, and drops any empty rows. This is easily modifiable by setting max_rows = whatever, in the library reader script)</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For example the names: Aircondition, air-con, AirCondition, airconditioning, etc. will be automatically recognized. But if you put A/C , probably it will throw an UncertaintyError (because it will find some similarly named components, but it will be below the 0.5 default similarity threshold. Generally though, try to keep it as compatible as possible.</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(one useful job for someone would be to take the similarity mapping functions that I have created, and apply them to the initial input dictionary. This way, the user-viewed input could be something like: Cost of Electricity (e / kWh), while the in-algorithm name could be robustly transformed into : energy_cost)</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After filling the library, there are two options:</a:t>
          </a:r>
          <a:endParaRPr b="0" lang="en-US" sz="1100" spc="-1" strike="noStrike">
            <a:latin typeface="Times New Roman"/>
          </a:endParaRPr>
        </a:p>
        <a:p>
          <a:pPr>
            <a:lnSpc>
              <a:spcPct val="100000"/>
            </a:lnSpc>
          </a:pPr>
          <a:r>
            <a:rPr b="0" lang="en-US" sz="1100" spc="-1" strike="noStrike">
              <a:solidFill>
                <a:srgbClr val="ffffff"/>
              </a:solidFill>
              <a:latin typeface="Calibri"/>
            </a:rPr>
            <a:t>1. For demand-driven componenets (conventional el.gen, heat/cool sources, insulations, etc) , no extra action is needed.</a:t>
          </a:r>
          <a:endParaRPr b="0" lang="en-US" sz="1100" spc="-1" strike="noStrike">
            <a:latin typeface="Times New Roman"/>
          </a:endParaRPr>
        </a:p>
        <a:p>
          <a:pPr>
            <a:lnSpc>
              <a:spcPct val="100000"/>
            </a:lnSpc>
          </a:pPr>
          <a:r>
            <a:rPr b="0" lang="en-US" sz="1100" spc="-1" strike="noStrike">
              <a:solidFill>
                <a:srgbClr val="ffffff"/>
              </a:solidFill>
              <a:latin typeface="Calibri"/>
            </a:rPr>
            <a:t>The proper classes are created automatically. e.g. I add to library a hear source named "Calorifeur", I add to the user input the "Calorifeur" and the algorithm works.</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2. For stochastic componenets (res generation), you have to implement its class (which inherits from a Replica which covers most of the needed components, based on your input and on the library).</a:t>
          </a:r>
          <a:endParaRPr b="0" lang="en-US" sz="1100" spc="-1" strike="noStrike">
            <a:latin typeface="Times New Roman"/>
          </a:endParaRPr>
        </a:p>
        <a:p>
          <a:pPr>
            <a:lnSpc>
              <a:spcPct val="100000"/>
            </a:lnSpc>
          </a:pPr>
          <a:r>
            <a:rPr b="0" lang="en-US" sz="1100" spc="-1" strike="noStrike">
              <a:solidFill>
                <a:srgbClr val="ffffff"/>
              </a:solidFill>
              <a:latin typeface="Calibri"/>
            </a:rPr>
            <a:t>**1. Currently, the 'automatic' process is only for heat and cools sources (Thermal Active). I don't know if I will have time to update this proccess for all classes.</a:t>
          </a:r>
          <a:endParaRPr b="0" lang="en-US" sz="1100" spc="-1" strike="noStrike">
            <a:latin typeface="Times New Roman"/>
          </a:endParaRPr>
        </a:p>
        <a:p>
          <a:pPr>
            <a:lnSpc>
              <a:spcPct val="100000"/>
            </a:lnSpc>
          </a:pPr>
          <a:endParaRPr b="0" lang="en-US" sz="1100" spc="-1" strike="noStrike">
            <a:latin typeface="Times New Roman"/>
          </a:endParaRPr>
        </a:p>
      </xdr:txBody>
    </xdr:sp>
    <xdr:clientData/>
  </xdr:twoCellAnchor>
  <xdr:twoCellAnchor editAs="twoCell">
    <xdr:from>
      <xdr:col>1</xdr:col>
      <xdr:colOff>15120</xdr:colOff>
      <xdr:row>50</xdr:row>
      <xdr:rowOff>91440</xdr:rowOff>
    </xdr:from>
    <xdr:to>
      <xdr:col>12</xdr:col>
      <xdr:colOff>2880</xdr:colOff>
      <xdr:row>72</xdr:row>
      <xdr:rowOff>10440</xdr:rowOff>
    </xdr:to>
    <xdr:sp>
      <xdr:nvSpPr>
        <xdr:cNvPr id="9" name="CustomShape 1"/>
        <xdr:cNvSpPr/>
      </xdr:nvSpPr>
      <xdr:spPr>
        <a:xfrm>
          <a:off x="771480" y="10445040"/>
          <a:ext cx="8929080" cy="4110120"/>
        </a:xfrm>
        <a:prstGeom prst="rect">
          <a:avLst/>
        </a:prstGeom>
        <a:noFill/>
        <a:ln w="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nSpc>
              <a:spcPct val="100000"/>
            </a:lnSpc>
          </a:pPr>
          <a:r>
            <a:rPr b="1" lang="en-US" sz="1400" spc="-1" strike="noStrike" u="sng">
              <a:solidFill>
                <a:srgbClr val="000000"/>
              </a:solidFill>
              <a:uFillTx/>
              <a:latin typeface="Calibri"/>
            </a:rPr>
            <a:t>Current Values</a:t>
          </a:r>
          <a:endParaRPr b="0" lang="en-US" sz="1400" spc="-1" strike="noStrike">
            <a:latin typeface="Times New Roman"/>
          </a:endParaRPr>
        </a:p>
        <a:p>
          <a:pPr>
            <a:lnSpc>
              <a:spcPct val="100000"/>
            </a:lnSpc>
          </a:pPr>
          <a:endParaRPr b="0" lang="en-US" sz="1400" spc="-1" strike="noStrike">
            <a:latin typeface="Times New Roman"/>
          </a:endParaRPr>
        </a:p>
        <a:p>
          <a:pPr>
            <a:lnSpc>
              <a:spcPct val="100000"/>
            </a:lnSpc>
          </a:pPr>
          <a:endParaRPr b="0" lang="en-US" sz="1400" spc="-1" strike="noStrike">
            <a:latin typeface="Times New Roman"/>
          </a:endParaRPr>
        </a:p>
        <a:p>
          <a:pPr>
            <a:lnSpc>
              <a:spcPct val="100000"/>
            </a:lnSpc>
          </a:pPr>
          <a:r>
            <a:rPr b="0" lang="en-US" sz="1100" spc="-1" strike="noStrike">
              <a:solidFill>
                <a:srgbClr val="ffffff"/>
              </a:solidFill>
              <a:latin typeface="Calibri"/>
            </a:rPr>
            <a:t>Currently,  some values in the library are random, or estimates. Others are based on literature, etc.</a:t>
          </a:r>
          <a:endParaRPr b="0" lang="en-US" sz="1100" spc="-1" strike="noStrike">
            <a:latin typeface="Times New Roman"/>
          </a:endParaRPr>
        </a:p>
        <a:p>
          <a:pPr>
            <a:lnSpc>
              <a:spcPct val="100000"/>
            </a:lnSpc>
          </a:pPr>
          <a:r>
            <a:rPr b="0" lang="en-US" sz="1100" spc="-1" strike="noStrike">
              <a:solidFill>
                <a:srgbClr val="ffffff"/>
              </a:solidFill>
              <a:latin typeface="Calibri"/>
            </a:rPr>
            <a:t>On the top row, above each column (in each tab) there is an indication about the integridy of the values.</a:t>
          </a:r>
          <a:endParaRPr b="0" lang="en-US" sz="1100" spc="-1" strike="noStrike">
            <a:latin typeface="Times New Roman"/>
          </a:endParaRPr>
        </a:p>
        <a:p>
          <a:pPr>
            <a:lnSpc>
              <a:spcPct val="100000"/>
            </a:lnSpc>
          </a:pPr>
          <a:r>
            <a:rPr b="0" lang="en-US" sz="1100" spc="-1" strike="noStrike">
              <a:solidFill>
                <a:srgbClr val="ffffff"/>
              </a:solidFill>
              <a:latin typeface="Calibri"/>
            </a:rPr>
            <a:t>(Columns that have no such indicator, are either open to admin's choice, or anyway, special case that has been cover/explained otherwise).</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Annotation: </a:t>
          </a:r>
          <a:endParaRPr b="0" lang="en-US" sz="1100" spc="-1" strike="noStrike">
            <a:latin typeface="Times New Roman"/>
          </a:endParaRPr>
        </a:p>
        <a:p>
          <a:pPr>
            <a:lnSpc>
              <a:spcPct val="100000"/>
            </a:lnSpc>
          </a:pPr>
          <a:r>
            <a:rPr b="0" lang="en-US" sz="1100" spc="-1" strike="noStrike">
              <a:solidFill>
                <a:srgbClr val="ffffff"/>
              </a:solidFill>
              <a:latin typeface="Calibri"/>
            </a:rPr>
            <a:t>	</a:t>
          </a:r>
          <a:r>
            <a:rPr b="0" lang="en-US" sz="1100" spc="-1" strike="noStrike">
              <a:solidFill>
                <a:srgbClr val="ffffff"/>
              </a:solidFill>
              <a:latin typeface="Calibri"/>
            </a:rPr>
            <a:t>random  -&gt; totally (almost) random (to make sure it is not confused with valid value, there is the </a:t>
          </a:r>
          <a:r>
            <a:rPr b="0" lang="en-US" sz="1100" spc="-1" strike="noStrike">
              <a:solidFill>
                <a:srgbClr val="ffffff"/>
              </a:solidFill>
              <a:latin typeface="Calibri"/>
            </a:rPr>
            <a:t>	</a:t>
          </a:r>
          <a:r>
            <a:rPr b="0" lang="en-US" sz="1100" spc="-1" strike="noStrike">
              <a:solidFill>
                <a:srgbClr val="ffffff"/>
              </a:solidFill>
              <a:latin typeface="Calibri"/>
            </a:rPr>
            <a:t>	</a:t>
          </a:r>
          <a:r>
            <a:rPr b="0" lang="en-US" sz="1100" spc="-1" strike="noStrike">
              <a:solidFill>
                <a:srgbClr val="ffffff"/>
              </a:solidFill>
              <a:latin typeface="Calibri"/>
            </a:rPr>
            <a:t>                    randbetween formula in such cells. Generally, if you run tha solver like that, there will be no </a:t>
          </a:r>
          <a:r>
            <a:rPr b="0" lang="en-US" sz="1100" spc="-1" strike="noStrike">
              <a:solidFill>
                <a:srgbClr val="ffffff"/>
              </a:solidFill>
              <a:latin typeface="Calibri"/>
            </a:rPr>
            <a:t>	</a:t>
          </a:r>
          <a:r>
            <a:rPr b="0" lang="en-US" sz="1100" spc="-1" strike="noStrike">
              <a:solidFill>
                <a:srgbClr val="ffffff"/>
              </a:solidFill>
              <a:latin typeface="Calibri"/>
            </a:rPr>
            <a:t>                    consistent and/or reasonable results, depending on the importance of the column.</a:t>
          </a:r>
          <a:endParaRPr b="0" lang="en-US" sz="1100" spc="-1" strike="noStrike">
            <a:latin typeface="Times New Roman"/>
          </a:endParaRPr>
        </a:p>
        <a:p>
          <a:pPr>
            <a:lnSpc>
              <a:spcPct val="100000"/>
            </a:lnSpc>
          </a:pPr>
          <a:r>
            <a:rPr b="0" lang="en-US" sz="1100" spc="-1" strike="noStrike">
              <a:solidFill>
                <a:srgbClr val="ffffff"/>
              </a:solidFill>
              <a:latin typeface="Calibri"/>
            </a:rPr>
            <a:t>	</a:t>
          </a:r>
          <a:endParaRPr b="0" lang="en-US" sz="1100" spc="-1" strike="noStrike">
            <a:latin typeface="Times New Roman"/>
          </a:endParaRPr>
        </a:p>
        <a:p>
          <a:pPr>
            <a:lnSpc>
              <a:spcPct val="100000"/>
            </a:lnSpc>
          </a:pPr>
          <a:r>
            <a:rPr b="0" lang="en-US" sz="1100" spc="-1" strike="noStrike">
              <a:solidFill>
                <a:srgbClr val="ffffff"/>
              </a:solidFill>
              <a:latin typeface="Calibri"/>
            </a:rPr>
            <a:t>	</a:t>
          </a:r>
          <a:r>
            <a:rPr b="0" lang="en-US" sz="1100" spc="-1" strike="noStrike">
              <a:solidFill>
                <a:srgbClr val="ffffff"/>
              </a:solidFill>
              <a:latin typeface="Calibri"/>
            </a:rPr>
            <a:t>estimates -&gt; what it sounds like. probavbly reasonable, but maybe not. Generally, this means that you can </a:t>
          </a:r>
          <a:r>
            <a:rPr b="0" lang="en-US" sz="1100" spc="-1" strike="noStrike">
              <a:solidFill>
                <a:srgbClr val="ffffff"/>
              </a:solidFill>
              <a:latin typeface="Calibri"/>
            </a:rPr>
            <a:t>	</a:t>
          </a:r>
          <a:r>
            <a:rPr b="0" lang="en-US" sz="1100" spc="-1" strike="noStrike">
              <a:solidFill>
                <a:srgbClr val="ffffff"/>
              </a:solidFill>
              <a:latin typeface="Calibri"/>
            </a:rPr>
            <a:t>                       run the algorithm and expect qualitively reasonable results </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	</a:t>
          </a:r>
          <a:r>
            <a:rPr b="0" lang="en-US" sz="1100" spc="-1" strike="noStrike">
              <a:solidFill>
                <a:srgbClr val="ffffff"/>
              </a:solidFill>
              <a:latin typeface="Calibri"/>
            </a:rPr>
            <a:t>*docu     -&gt; All values of that column are Documented values. Probably in the excel sheet </a:t>
          </a:r>
          <a:r>
            <a:rPr b="0" lang="en-US" sz="1100" spc="-1" strike="noStrike">
              <a:solidFill>
                <a:srgbClr val="ffffff"/>
              </a:solidFill>
              <a:latin typeface="Calibri"/>
            </a:rPr>
            <a:t>	</a:t>
          </a:r>
          <a:r>
            <a:rPr b="0" lang="en-US" sz="1100" spc="-1" strike="noStrike">
              <a:solidFill>
                <a:srgbClr val="ffffff"/>
              </a:solidFill>
              <a:latin typeface="Calibri"/>
            </a:rPr>
            <a:t>	</a:t>
          </a:r>
          <a:r>
            <a:rPr b="0" lang="en-US" sz="1100" spc="-1" strike="noStrike">
              <a:solidFill>
                <a:srgbClr val="ffffff"/>
              </a:solidFill>
              <a:latin typeface="Calibri"/>
            </a:rPr>
            <a:t>                    "Materials_Properties_literature.xlsx", but could also be in papers in that folder</a:t>
          </a:r>
          <a:endParaRPr b="0" lang="en-US" sz="1100" spc="-1" strike="noStrike">
            <a:latin typeface="Times New Roman"/>
          </a:endParaRPr>
        </a:p>
        <a:p>
          <a:pPr>
            <a:lnSpc>
              <a:spcPct val="100000"/>
            </a:lnSpc>
          </a:pPr>
          <a:r>
            <a:rPr b="0" lang="en-US" sz="1100" spc="-1" strike="noStrike">
              <a:solidFill>
                <a:srgbClr val="ffffff"/>
              </a:solidFill>
              <a:latin typeface="Calibri"/>
            </a:rPr>
            <a:t>	</a:t>
          </a:r>
          <a:endParaRPr b="0" lang="en-US" sz="1100" spc="-1" strike="noStrike">
            <a:latin typeface="Times New Roman"/>
          </a:endParaRPr>
        </a:p>
        <a:p>
          <a:pPr>
            <a:lnSpc>
              <a:spcPct val="100000"/>
            </a:lnSpc>
          </a:pPr>
          <a:r>
            <a:rPr b="0" lang="en-US" sz="1100" spc="-1" strike="noStrike">
              <a:solidFill>
                <a:srgbClr val="ffffff"/>
              </a:solidFill>
              <a:latin typeface="Calibri"/>
            </a:rPr>
            <a:t>	</a:t>
          </a:r>
          <a:r>
            <a:rPr b="0" lang="en-US" sz="1100" spc="-1" strike="noStrike">
              <a:solidFill>
                <a:srgbClr val="ffffff"/>
              </a:solidFill>
              <a:latin typeface="Calibri"/>
            </a:rPr>
            <a:t>*docu/r -&gt; Some values are documented, and random. (Check the formulas. The random ones will have a </a:t>
          </a:r>
          <a:r>
            <a:rPr b="0" lang="en-US" sz="1100" spc="-1" strike="noStrike">
              <a:solidFill>
                <a:srgbClr val="ffffff"/>
              </a:solidFill>
              <a:latin typeface="Calibri"/>
            </a:rPr>
            <a:t>	</a:t>
          </a:r>
          <a:r>
            <a:rPr b="0" lang="en-US" sz="1100" spc="-1" strike="noStrike">
              <a:solidFill>
                <a:srgbClr val="ffffff"/>
              </a:solidFill>
              <a:latin typeface="Calibri"/>
            </a:rPr>
            <a:t>                    randbetween function)</a:t>
          </a:r>
          <a:endParaRPr b="0" lang="en-US" sz="1100" spc="-1" strike="noStrike">
            <a:latin typeface="Times New Roman"/>
          </a:endParaRPr>
        </a:p>
        <a:p>
          <a:pPr>
            <a:lnSpc>
              <a:spcPct val="100000"/>
            </a:lnSpc>
          </a:pPr>
          <a:endParaRPr b="0" lang="en-US" sz="1100" spc="-1" strike="noStrike">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166680</xdr:colOff>
      <xdr:row>13</xdr:row>
      <xdr:rowOff>74520</xdr:rowOff>
    </xdr:from>
    <xdr:to>
      <xdr:col>7</xdr:col>
      <xdr:colOff>121680</xdr:colOff>
      <xdr:row>23</xdr:row>
      <xdr:rowOff>104400</xdr:rowOff>
    </xdr:to>
    <xdr:graphicFrame>
      <xdr:nvGraphicFramePr>
        <xdr:cNvPr id="10" name="Chart 1"/>
        <xdr:cNvGraphicFramePr/>
      </xdr:nvGraphicFramePr>
      <xdr:xfrm>
        <a:off x="5367240" y="2550960"/>
        <a:ext cx="3912480" cy="19350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557280</xdr:colOff>
      <xdr:row>24</xdr:row>
      <xdr:rowOff>104400</xdr:rowOff>
    </xdr:from>
    <xdr:to>
      <xdr:col>3</xdr:col>
      <xdr:colOff>988920</xdr:colOff>
      <xdr:row>33</xdr:row>
      <xdr:rowOff>83520</xdr:rowOff>
    </xdr:to>
    <xdr:graphicFrame>
      <xdr:nvGraphicFramePr>
        <xdr:cNvPr id="11" name="Chart 2"/>
        <xdr:cNvGraphicFramePr/>
      </xdr:nvGraphicFramePr>
      <xdr:xfrm>
        <a:off x="557280" y="4676400"/>
        <a:ext cx="4239720" cy="16938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760320</xdr:colOff>
      <xdr:row>7</xdr:row>
      <xdr:rowOff>82800</xdr:rowOff>
    </xdr:from>
    <xdr:to>
      <xdr:col>15</xdr:col>
      <xdr:colOff>281520</xdr:colOff>
      <xdr:row>16</xdr:row>
      <xdr:rowOff>129600</xdr:rowOff>
    </xdr:to>
    <xdr:graphicFrame>
      <xdr:nvGraphicFramePr>
        <xdr:cNvPr id="12" name="Chart 3"/>
        <xdr:cNvGraphicFramePr/>
      </xdr:nvGraphicFramePr>
      <xdr:xfrm>
        <a:off x="15905160" y="1416240"/>
        <a:ext cx="4782240" cy="176148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483480</xdr:colOff>
      <xdr:row>7</xdr:row>
      <xdr:rowOff>16560</xdr:rowOff>
    </xdr:from>
    <xdr:to>
      <xdr:col>11</xdr:col>
      <xdr:colOff>473400</xdr:colOff>
      <xdr:row>16</xdr:row>
      <xdr:rowOff>65160</xdr:rowOff>
    </xdr:to>
    <xdr:graphicFrame>
      <xdr:nvGraphicFramePr>
        <xdr:cNvPr id="13" name="Chart 4"/>
        <xdr:cNvGraphicFramePr/>
      </xdr:nvGraphicFramePr>
      <xdr:xfrm>
        <a:off x="10974960" y="1350000"/>
        <a:ext cx="4643280" cy="176328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25</xdr:col>
      <xdr:colOff>486360</xdr:colOff>
      <xdr:row>7</xdr:row>
      <xdr:rowOff>146520</xdr:rowOff>
    </xdr:from>
    <xdr:to>
      <xdr:col>29</xdr:col>
      <xdr:colOff>37080</xdr:colOff>
      <xdr:row>17</xdr:row>
      <xdr:rowOff>176400</xdr:rowOff>
    </xdr:to>
    <xdr:graphicFrame>
      <xdr:nvGraphicFramePr>
        <xdr:cNvPr id="14" name="Chart 5"/>
        <xdr:cNvGraphicFramePr/>
      </xdr:nvGraphicFramePr>
      <xdr:xfrm>
        <a:off x="28454760" y="1479960"/>
        <a:ext cx="4012560" cy="193500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30</xdr:col>
      <xdr:colOff>369360</xdr:colOff>
      <xdr:row>8</xdr:row>
      <xdr:rowOff>87840</xdr:rowOff>
    </xdr:from>
    <xdr:to>
      <xdr:col>35</xdr:col>
      <xdr:colOff>19440</xdr:colOff>
      <xdr:row>17</xdr:row>
      <xdr:rowOff>136440</xdr:rowOff>
    </xdr:to>
    <xdr:graphicFrame>
      <xdr:nvGraphicFramePr>
        <xdr:cNvPr id="15" name="Chart 6"/>
        <xdr:cNvGraphicFramePr/>
      </xdr:nvGraphicFramePr>
      <xdr:xfrm>
        <a:off x="33925320" y="1611720"/>
        <a:ext cx="4660920" cy="176328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127440</xdr:colOff>
      <xdr:row>35</xdr:row>
      <xdr:rowOff>111240</xdr:rowOff>
    </xdr:from>
    <xdr:to>
      <xdr:col>7</xdr:col>
      <xdr:colOff>429480</xdr:colOff>
      <xdr:row>44</xdr:row>
      <xdr:rowOff>94320</xdr:rowOff>
    </xdr:to>
    <xdr:graphicFrame>
      <xdr:nvGraphicFramePr>
        <xdr:cNvPr id="16" name="Chart 7"/>
        <xdr:cNvGraphicFramePr/>
      </xdr:nvGraphicFramePr>
      <xdr:xfrm>
        <a:off x="5328000" y="6778800"/>
        <a:ext cx="4259520" cy="169740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597600</xdr:colOff>
      <xdr:row>31</xdr:row>
      <xdr:rowOff>33480</xdr:rowOff>
    </xdr:from>
    <xdr:to>
      <xdr:col>5</xdr:col>
      <xdr:colOff>600120</xdr:colOff>
      <xdr:row>47</xdr:row>
      <xdr:rowOff>23040</xdr:rowOff>
    </xdr:to>
    <xdr:pic>
      <xdr:nvPicPr>
        <xdr:cNvPr id="17" name="Picture 2" descr=""/>
        <xdr:cNvPicPr/>
      </xdr:nvPicPr>
      <xdr:blipFill>
        <a:blip r:embed="rId1"/>
        <a:stretch/>
      </xdr:blipFill>
      <xdr:spPr>
        <a:xfrm>
          <a:off x="2850480" y="6338880"/>
          <a:ext cx="5781600" cy="303768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556920</xdr:colOff>
      <xdr:row>28</xdr:row>
      <xdr:rowOff>23400</xdr:rowOff>
    </xdr:from>
    <xdr:to>
      <xdr:col>4</xdr:col>
      <xdr:colOff>162000</xdr:colOff>
      <xdr:row>44</xdr:row>
      <xdr:rowOff>12960</xdr:rowOff>
    </xdr:to>
    <xdr:pic>
      <xdr:nvPicPr>
        <xdr:cNvPr id="18" name="Picture 2" descr=""/>
        <xdr:cNvPicPr/>
      </xdr:nvPicPr>
      <xdr:blipFill>
        <a:blip r:embed="rId1"/>
        <a:stretch/>
      </xdr:blipFill>
      <xdr:spPr>
        <a:xfrm>
          <a:off x="1313280" y="5785920"/>
          <a:ext cx="5932800" cy="3037680"/>
        </a:xfrm>
        <a:prstGeom prst="rect">
          <a:avLst/>
        </a:prstGeom>
        <a:ln w="0">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99000</xdr:colOff>
      <xdr:row>11</xdr:row>
      <xdr:rowOff>114480</xdr:rowOff>
    </xdr:from>
    <xdr:to>
      <xdr:col>11</xdr:col>
      <xdr:colOff>520920</xdr:colOff>
      <xdr:row>24</xdr:row>
      <xdr:rowOff>5400</xdr:rowOff>
    </xdr:to>
    <xdr:graphicFrame>
      <xdr:nvGraphicFramePr>
        <xdr:cNvPr id="19" name="Chart 1"/>
        <xdr:cNvGraphicFramePr/>
      </xdr:nvGraphicFramePr>
      <xdr:xfrm>
        <a:off x="7701840" y="2210040"/>
        <a:ext cx="6958080" cy="23673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twoCell">
    <xdr:from>
      <xdr:col>0</xdr:col>
      <xdr:colOff>601920</xdr:colOff>
      <xdr:row>0</xdr:row>
      <xdr:rowOff>106560</xdr:rowOff>
    </xdr:from>
    <xdr:to>
      <xdr:col>5</xdr:col>
      <xdr:colOff>1168920</xdr:colOff>
      <xdr:row>11</xdr:row>
      <xdr:rowOff>101880</xdr:rowOff>
    </xdr:to>
    <xdr:sp>
      <xdr:nvSpPr>
        <xdr:cNvPr id="20" name="CustomShape 1"/>
        <xdr:cNvSpPr/>
      </xdr:nvSpPr>
      <xdr:spPr>
        <a:xfrm>
          <a:off x="601920" y="106560"/>
          <a:ext cx="8169840" cy="2090880"/>
        </a:xfrm>
        <a:prstGeom prst="rect">
          <a:avLst/>
        </a:prstGeom>
        <a:noFill/>
        <a:ln w="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nSpc>
              <a:spcPct val="100000"/>
            </a:lnSpc>
          </a:pPr>
          <a:r>
            <a:rPr b="1" lang="en-US" sz="1200" spc="-1" strike="noStrike" u="sng">
              <a:solidFill>
                <a:srgbClr val="ffffff"/>
              </a:solidFill>
              <a:uFillTx/>
              <a:latin typeface="Calibri"/>
            </a:rPr>
            <a:t>Method 1 : Scale Components</a:t>
          </a: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100" spc="-1" strike="noStrike">
              <a:solidFill>
                <a:srgbClr val="ffffff"/>
              </a:solidFill>
              <a:latin typeface="Calibri"/>
            </a:rPr>
            <a:t>1. Fill in the orange cells.</a:t>
          </a:r>
          <a:endParaRPr b="0" lang="en-US" sz="1100" spc="-1" strike="noStrike">
            <a:latin typeface="Times New Roman"/>
          </a:endParaRPr>
        </a:p>
        <a:p>
          <a:pPr>
            <a:lnSpc>
              <a:spcPct val="100000"/>
            </a:lnSpc>
          </a:pPr>
          <a:r>
            <a:rPr b="0" lang="en-US" sz="1100" spc="-1" strike="noStrike">
              <a:solidFill>
                <a:srgbClr val="ffffff"/>
              </a:solidFill>
              <a:latin typeface="Calibri"/>
            </a:rPr>
            <a:t>	</a:t>
          </a:r>
          <a:r>
            <a:rPr b="0" lang="en-US" sz="1100" spc="-1" strike="noStrike">
              <a:solidFill>
                <a:srgbClr val="ffffff"/>
              </a:solidFill>
              <a:latin typeface="Calibri"/>
            </a:rPr>
            <a:t>First Samples X --&gt; in u.g.s.</a:t>
          </a:r>
          <a:endParaRPr b="0" lang="en-US" sz="1100" spc="-1" strike="noStrike">
            <a:latin typeface="Times New Roman"/>
          </a:endParaRPr>
        </a:p>
        <a:p>
          <a:pPr>
            <a:lnSpc>
              <a:spcPct val="100000"/>
            </a:lnSpc>
          </a:pPr>
          <a:r>
            <a:rPr b="0" lang="en-US" sz="1100" spc="-1" strike="noStrike">
              <a:solidFill>
                <a:srgbClr val="ffffff"/>
              </a:solidFill>
              <a:latin typeface="Calibri"/>
            </a:rPr>
            <a:t>	</a:t>
          </a:r>
          <a:r>
            <a:rPr b="0" lang="en-US" sz="1100" spc="-1" strike="noStrike">
              <a:solidFill>
                <a:srgbClr val="ffffff"/>
              </a:solidFill>
              <a:latin typeface="Calibri"/>
            </a:rPr>
            <a:t>Samples Y --&gt; quantity that you want to define</a:t>
          </a:r>
          <a:endParaRPr b="0" lang="en-US" sz="1100" spc="-1" strike="noStrike">
            <a:latin typeface="Times New Roman"/>
          </a:endParaRPr>
        </a:p>
        <a:p>
          <a:pPr>
            <a:lnSpc>
              <a:spcPct val="100000"/>
            </a:lnSpc>
          </a:pPr>
          <a:r>
            <a:rPr b="0" lang="en-US" sz="1100" spc="-1" strike="noStrike">
              <a:solidFill>
                <a:srgbClr val="ffffff"/>
              </a:solidFill>
              <a:latin typeface="Calibri"/>
            </a:rPr>
            <a:t>	</a:t>
          </a:r>
          <a:r>
            <a:rPr b="0" lang="en-US" sz="1100" spc="-1" strike="noStrike">
              <a:solidFill>
                <a:srgbClr val="ffffff"/>
              </a:solidFill>
              <a:latin typeface="Calibri"/>
            </a:rPr>
            <a:t>Ref X: Arbitrarily, on of Samples X</a:t>
          </a:r>
          <a:endParaRPr b="0" lang="en-US" sz="1100" spc="-1" strike="noStrike">
            <a:latin typeface="Times New Roman"/>
          </a:endParaRPr>
        </a:p>
        <a:p>
          <a:pPr>
            <a:lnSpc>
              <a:spcPct val="100000"/>
            </a:lnSpc>
          </a:pPr>
          <a:r>
            <a:rPr b="0" lang="en-US" sz="1100" spc="-1" strike="noStrike">
              <a:solidFill>
                <a:srgbClr val="ffffff"/>
              </a:solidFill>
              <a:latin typeface="Calibri"/>
            </a:rPr>
            <a:t>	</a:t>
          </a:r>
          <a:r>
            <a:rPr b="0" lang="en-US" sz="1100" spc="-1" strike="noStrike">
              <a:solidFill>
                <a:srgbClr val="ffffff"/>
              </a:solidFill>
              <a:latin typeface="Calibri"/>
            </a:rPr>
            <a:t>Ref Y: The Sample Y of the Ref X</a:t>
          </a:r>
          <a:endParaRPr b="0" lang="en-US" sz="1100" spc="-1" strike="noStrike">
            <a:latin typeface="Times New Roman"/>
          </a:endParaRPr>
        </a:p>
        <a:p>
          <a:pPr>
            <a:lnSpc>
              <a:spcPct val="100000"/>
            </a:lnSpc>
          </a:pPr>
          <a:r>
            <a:rPr b="0" lang="en-US" sz="1100" spc="-1" strike="noStrike">
              <a:solidFill>
                <a:srgbClr val="ffffff"/>
              </a:solidFill>
              <a:latin typeface="Calibri"/>
            </a:rPr>
            <a:t>2. Update the excel trendline (and the equation, because it gets stuck sometimes. Caution: Use &gt;= 5 decimal)</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solidFill>
                <a:srgbClr val="ffffff"/>
              </a:solidFill>
              <a:latin typeface="Calibri"/>
            </a:rPr>
            <a:t>3. Get the exponent, and put it in cell "</a:t>
          </a:r>
          <a:r>
            <a:rPr b="0" lang="el-GR" sz="1100" spc="-1" strike="noStrike">
              <a:solidFill>
                <a:srgbClr val="ffffff"/>
              </a:solidFill>
              <a:latin typeface="Calibri"/>
            </a:rPr>
            <a:t>α".</a:t>
          </a:r>
          <a:r>
            <a:rPr b="0" lang="en-US" sz="1100" spc="-1" strike="noStrike">
              <a:solidFill>
                <a:srgbClr val="ffffff"/>
              </a:solidFill>
              <a:latin typeface="Calibri"/>
            </a:rPr>
            <a:t> Check interpolated Y values, they should be close to sample Y.</a:t>
          </a:r>
          <a:endParaRPr b="0" lang="en-US" sz="1100" spc="-1" strike="noStrike">
            <a:latin typeface="Times New Roman"/>
          </a:endParaRPr>
        </a:p>
        <a:p>
          <a:pPr>
            <a:lnSpc>
              <a:spcPct val="100000"/>
            </a:lnSpc>
          </a:pPr>
          <a:r>
            <a:rPr b="0" lang="en-US" sz="1100" spc="-1" strike="noStrike">
              <a:solidFill>
                <a:srgbClr val="ffffff"/>
              </a:solidFill>
              <a:latin typeface="Calibri"/>
            </a:rPr>
            <a:t>4. Put the exponent </a:t>
          </a:r>
          <a:r>
            <a:rPr b="0" lang="el-GR" sz="1100" spc="-1" strike="noStrike">
              <a:solidFill>
                <a:srgbClr val="ffffff"/>
              </a:solidFill>
              <a:latin typeface="Calibri"/>
            </a:rPr>
            <a:t>"α" </a:t>
          </a:r>
          <a:r>
            <a:rPr b="0" lang="en-US" sz="1100" spc="-1" strike="noStrike">
              <a:solidFill>
                <a:srgbClr val="ffffff"/>
              </a:solidFill>
              <a:latin typeface="Calibri"/>
            </a:rPr>
            <a:t>in "scale_cost" or "scale_env" columns</a:t>
          </a:r>
          <a:endParaRPr b="0" lang="en-US" sz="1100" spc="-1" strike="noStrike">
            <a:latin typeface="Times New Roman"/>
          </a:endParaRPr>
        </a:p>
        <a:p>
          <a:pPr>
            <a:lnSpc>
              <a:spcPct val="100000"/>
            </a:lnSpc>
          </a:pPr>
          <a:endParaRPr b="0" lang="en-US" sz="1100" spc="-1" strike="noStrike">
            <a:latin typeface="Times New Roman"/>
          </a:endParaRPr>
        </a:p>
      </xdr:txBody>
    </xdr:sp>
    <xdr:clientData/>
  </xdr:twoCellAnchor>
  <xdr:twoCellAnchor editAs="twoCell">
    <xdr:from>
      <xdr:col>0</xdr:col>
      <xdr:colOff>594360</xdr:colOff>
      <xdr:row>29</xdr:row>
      <xdr:rowOff>160200</xdr:rowOff>
    </xdr:from>
    <xdr:to>
      <xdr:col>5</xdr:col>
      <xdr:colOff>1161360</xdr:colOff>
      <xdr:row>36</xdr:row>
      <xdr:rowOff>25920</xdr:rowOff>
    </xdr:to>
    <xdr:sp>
      <xdr:nvSpPr>
        <xdr:cNvPr id="21" name="CustomShape 1"/>
        <xdr:cNvSpPr/>
      </xdr:nvSpPr>
      <xdr:spPr>
        <a:xfrm>
          <a:off x="594360" y="5684760"/>
          <a:ext cx="8169840" cy="1199160"/>
        </a:xfrm>
        <a:prstGeom prst="rect">
          <a:avLst/>
        </a:prstGeom>
        <a:noFill/>
        <a:ln w="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t">
          <a:noAutofit/>
        </a:bodyPr>
        <a:p>
          <a:pPr>
            <a:lnSpc>
              <a:spcPct val="100000"/>
            </a:lnSpc>
          </a:pPr>
          <a:r>
            <a:rPr b="1" lang="en-US" sz="1200" spc="-1" strike="noStrike" u="sng">
              <a:solidFill>
                <a:srgbClr val="ffffff"/>
              </a:solidFill>
              <a:uFillTx/>
              <a:latin typeface="Calibri"/>
            </a:rPr>
            <a:t>Method 2 : Conversions</a:t>
          </a: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100" spc="-1" strike="noStrike">
              <a:solidFill>
                <a:srgbClr val="ffffff"/>
              </a:solidFill>
              <a:latin typeface="Calibri"/>
            </a:rPr>
            <a:t>1. LHV and denisty are taken from "Fuels" tab.</a:t>
          </a:r>
          <a:endParaRPr b="0" lang="en-US" sz="1100" spc="-1" strike="noStrike">
            <a:latin typeface="Times New Roman"/>
          </a:endParaRPr>
        </a:p>
        <a:p>
          <a:pPr>
            <a:lnSpc>
              <a:spcPct val="100000"/>
            </a:lnSpc>
          </a:pPr>
          <a:r>
            <a:rPr b="0" lang="en-US" sz="1100" spc="-1" strike="noStrike">
              <a:solidFill>
                <a:srgbClr val="ffffff"/>
              </a:solidFill>
              <a:latin typeface="Calibri"/>
            </a:rPr>
            <a:t>2. wEnergy content and vEnergy Content are calculations</a:t>
          </a:r>
          <a:endParaRPr b="0" lang="en-US" sz="1100" spc="-1" strike="noStrike">
            <a:latin typeface="Times New Roman"/>
          </a:endParaRPr>
        </a:p>
        <a:p>
          <a:pPr>
            <a:lnSpc>
              <a:spcPct val="100000"/>
            </a:lnSpc>
          </a:pPr>
          <a:r>
            <a:rPr b="0" lang="en-US" sz="1100" spc="-1" strike="noStrike">
              <a:solidFill>
                <a:srgbClr val="ffffff"/>
              </a:solidFill>
              <a:latin typeface="Calibri"/>
            </a:rPr>
            <a:t>3. Price / lt is input </a:t>
          </a:r>
          <a:endParaRPr b="0" lang="en-US" sz="1100" spc="-1" strike="noStrike">
            <a:latin typeface="Times New Roman"/>
          </a:endParaRPr>
        </a:p>
        <a:p>
          <a:pPr>
            <a:lnSpc>
              <a:spcPct val="100000"/>
            </a:lnSpc>
          </a:pPr>
          <a:r>
            <a:rPr b="0" lang="en-US" sz="1100" spc="-1" strike="noStrike">
              <a:solidFill>
                <a:srgbClr val="ffffff"/>
              </a:solidFill>
              <a:latin typeface="Calibri"/>
            </a:rPr>
            <a:t>4. Price per kWh is output.</a:t>
          </a:r>
          <a:endParaRPr b="0" lang="en-US" sz="1100" spc="-1" strike="noStrike">
            <a:latin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190440</xdr:colOff>
      <xdr:row>29</xdr:row>
      <xdr:rowOff>7560</xdr:rowOff>
    </xdr:from>
    <xdr:to>
      <xdr:col>8</xdr:col>
      <xdr:colOff>254520</xdr:colOff>
      <xdr:row>44</xdr:row>
      <xdr:rowOff>25920</xdr:rowOff>
    </xdr:to>
    <xdr:graphicFrame>
      <xdr:nvGraphicFramePr>
        <xdr:cNvPr id="22" name="Chart 1"/>
        <xdr:cNvGraphicFramePr/>
      </xdr:nvGraphicFramePr>
      <xdr:xfrm>
        <a:off x="2606760" y="5532120"/>
        <a:ext cx="5771160" cy="28756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695520</xdr:colOff>
      <xdr:row>8</xdr:row>
      <xdr:rowOff>152280</xdr:rowOff>
    </xdr:from>
    <xdr:to>
      <xdr:col>1</xdr:col>
      <xdr:colOff>243360</xdr:colOff>
      <xdr:row>11</xdr:row>
      <xdr:rowOff>81360</xdr:rowOff>
    </xdr:to>
    <xdr:pic>
      <xdr:nvPicPr>
        <xdr:cNvPr id="23" name="ToggleButton1" descr=""/>
        <xdr:cNvPicPr/>
      </xdr:nvPicPr>
      <xdr:blipFill>
        <a:blip r:embed="rId2"/>
        <a:stretch/>
      </xdr:blipFill>
      <xdr:spPr>
        <a:xfrm>
          <a:off x="695520" y="1676160"/>
          <a:ext cx="1207800" cy="500760"/>
        </a:xfrm>
        <a:prstGeom prst="rect">
          <a:avLst/>
        </a:prstGeom>
        <a:ln w="0">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2.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3.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hyperlink" Target="https://www.researchgate.net/publication/282754710_A_Comparative_Life_Cycle_Assessment_of_Building_Insulation_Products_made_of_Stone_Wool_Paper_Wool_and_Flax_Part_1_Background_Goal_and_Scope_Life_Cycle_Inventory_Impact_Assessment_and_Interpretation" TargetMode="External"/><Relationship Id="rId3" Type="http://schemas.openxmlformats.org/officeDocument/2006/relationships/hyperlink" Target="https://www.greenspec.co.uk/building-design/insulation-materials-thermal-properties/" TargetMode="External"/><Relationship Id="rId4" Type="http://schemas.openxmlformats.org/officeDocument/2006/relationships/hyperlink" Target="https://www.greenspec.co.uk/building-design/insulation-materials-thermal-properties/" TargetMode="External"/><Relationship Id="rId5" Type="http://schemas.openxmlformats.org/officeDocument/2006/relationships/hyperlink" Target="https://www.greenspec.co.uk/building-design/insulation-materials-thermal-properties/" TargetMode="External"/><Relationship Id="rId6" Type="http://schemas.openxmlformats.org/officeDocument/2006/relationships/hyperlink" Target="https://www.greenspec.co.uk/building-design/insulation-materials-thermal-properties/" TargetMode="External"/><Relationship Id="rId7" Type="http://schemas.openxmlformats.org/officeDocument/2006/relationships/hyperlink" Target="https://www.greenspec.co.uk/building-design/insulation-materials-thermal-properties/" TargetMode="External"/><Relationship Id="rId8" Type="http://schemas.openxmlformats.org/officeDocument/2006/relationships/hyperlink" Target="https://www.greenspec.co.uk/building-design/insulation-materials-thermal-properties/" TargetMode="External"/><Relationship Id="rId9" Type="http://schemas.openxmlformats.org/officeDocument/2006/relationships/hyperlink" Target="https://www.greenspec.co.uk/building-design/insulation-materials-thermal-properties/" TargetMode="External"/><Relationship Id="rId10" Type="http://schemas.openxmlformats.org/officeDocument/2006/relationships/hyperlink" Target="https://www.greenspec.co.uk/building-design/insulation-materials-thermal-properties/" TargetMode="External"/><Relationship Id="rId11" Type="http://schemas.openxmlformats.org/officeDocument/2006/relationships/hyperlink" Target="https://www.greenspec.co.uk/building-design/insulation-materials-thermal-properties/" TargetMode="External"/><Relationship Id="rId12" Type="http://schemas.openxmlformats.org/officeDocument/2006/relationships/hyperlink" Target="https://www.greenspec.co.uk/building-design/insulation-materials-thermal-properties/" TargetMode="External"/><Relationship Id="rId13" Type="http://schemas.openxmlformats.org/officeDocument/2006/relationships/hyperlink" Target="https://www.greenspec.co.uk/building-design/insulation-materials-thermal-properties/" TargetMode="External"/><Relationship Id="rId14" Type="http://schemas.openxmlformats.org/officeDocument/2006/relationships/hyperlink" Target="https://www.greenspec.co.uk/building-design/insulation-materials-thermal-properties/" TargetMode="External"/><Relationship Id="rId15" Type="http://schemas.openxmlformats.org/officeDocument/2006/relationships/hyperlink" Target="https://www.greenspec.co.uk/building-design/insulation-materials-thermal-properties/" TargetMode="External"/><Relationship Id="rId16" Type="http://schemas.openxmlformats.org/officeDocument/2006/relationships/hyperlink" Target="https://www.greenspec.co.uk/building-design/insulation-materials-thermal-properties/" TargetMode="External"/><Relationship Id="rId17" Type="http://schemas.openxmlformats.org/officeDocument/2006/relationships/hyperlink" Target="https://www.greenspec.co.uk/building-design/insulation-materials-thermal-properties/" TargetMode="External"/><Relationship Id="rId18" Type="http://schemas.openxmlformats.org/officeDocument/2006/relationships/vmlDrawing" Target="../drawings/vmlDrawing4.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5.vml"/>
</Relationships>
</file>

<file path=xl/worksheets/_rels/sheet10.xml.rels><?xml version="1.0" encoding="UTF-8"?>
<Relationships xmlns="http://schemas.openxmlformats.org/package/2006/relationships"><Relationship Id="rId1" Type="http://schemas.openxmlformats.org/officeDocument/2006/relationships/drawing" Target="../drawings/drawing2.x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3.xml"/><Relationship Id="rId3" Type="http://schemas.openxmlformats.org/officeDocument/2006/relationships/vmlDrawing" Target="../drawings/vmlDrawing6.vml"/>
</Relationships>
</file>

<file path=xl/worksheets/_rels/sheet12.xml.rels><?xml version="1.0" encoding="UTF-8"?>
<Relationships xmlns="http://schemas.openxmlformats.org/package/2006/relationships"><Relationship Id="rId1" Type="http://schemas.openxmlformats.org/officeDocument/2006/relationships/comments" Target="../comments12.xml"/><Relationship Id="rId2" Type="http://schemas.openxmlformats.org/officeDocument/2006/relationships/drawing" Target="../drawings/drawing4.xml"/><Relationship Id="rId3" Type="http://schemas.openxmlformats.org/officeDocument/2006/relationships/vmlDrawing" Target="../drawings/vmlDrawing7.v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vmlDrawing" Target="../drawings/vmlDrawing8.v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vmlDrawing" Target="../drawings/vmlDrawing9.v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vmlDrawing" Target="../drawings/vmlDrawing10.vml"/>
</Relationships>
</file>

<file path=xl/worksheets/_rels/sheet18.xml.rels><?xml version="1.0" encoding="UTF-8"?>
<Relationships xmlns="http://schemas.openxmlformats.org/package/2006/relationships"><Relationship Id="rId1" Type="http://schemas.openxmlformats.org/officeDocument/2006/relationships/comments" Target="../comments18.xml"/><Relationship Id="rId2" Type="http://schemas.openxmlformats.org/officeDocument/2006/relationships/vmlDrawing" Target="../drawings/vmlDrawing11.vml"/>
</Relationships>
</file>

<file path=xl/worksheets/_rels/sheet19.xml.rels><?xml version="1.0" encoding="UTF-8"?>
<Relationships xmlns="http://schemas.openxmlformats.org/package/2006/relationships"><Relationship Id="rId1" Type="http://schemas.openxmlformats.org/officeDocument/2006/relationships/comments" Target="../comments19.xml"/><Relationship Id="rId2" Type="http://schemas.openxmlformats.org/officeDocument/2006/relationships/vmlDrawing" Target="../drawings/vmlDrawing12.vml"/>
</Relationships>
</file>

<file path=xl/worksheets/_rels/sheet20.xml.rels><?xml version="1.0" encoding="UTF-8"?>
<Relationships xmlns="http://schemas.openxmlformats.org/package/2006/relationships"><Relationship Id="rId1" Type="http://schemas.openxmlformats.org/officeDocument/2006/relationships/comments" Target="../comments20.xml"/><Relationship Id="rId2" Type="http://schemas.openxmlformats.org/officeDocument/2006/relationships/vmlDrawing" Target="../drawings/vmlDrawing13.vml"/>
</Relationships>
</file>

<file path=xl/worksheets/_rels/sheet21.xml.rels><?xml version="1.0" encoding="UTF-8"?>
<Relationships xmlns="http://schemas.openxmlformats.org/package/2006/relationships"><Relationship Id="rId1" Type="http://schemas.openxmlformats.org/officeDocument/2006/relationships/drawing" Target="../drawings/drawing5.xml"/>
</Relationships>
</file>

<file path=xl/worksheets/_rels/sheet22.xml.rels><?xml version="1.0" encoding="UTF-8"?>
<Relationships xmlns="http://schemas.openxmlformats.org/package/2006/relationships"><Relationship Id="rId1" Type="http://schemas.openxmlformats.org/officeDocument/2006/relationships/drawing" Target="../drawings/drawing6.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2:P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P59" activeCellId="0" sqref="P59"/>
    </sheetView>
  </sheetViews>
  <sheetFormatPr defaultColWidth="8.5078125" defaultRowHeight="15" zeroHeight="false" outlineLevelRow="0" outlineLevelCol="0"/>
  <cols>
    <col collapsed="false" customWidth="true" hidden="false" outlineLevel="0" max="12" min="12" style="0" width="15.5"/>
    <col collapsed="false" customWidth="true" hidden="false" outlineLevel="0" max="13" min="13" style="0" width="18.5"/>
    <col collapsed="false" customWidth="true" hidden="false" outlineLevel="0" max="14" min="14" style="0" width="28.5"/>
    <col collapsed="false" customWidth="true" hidden="false" outlineLevel="0" max="15" min="15" style="0" width="15.66"/>
    <col collapsed="false" customWidth="true" hidden="false" outlineLevel="0" max="16" min="16" style="0" width="139"/>
    <col collapsed="false" customWidth="true" hidden="false" outlineLevel="0" max="18" min="17" style="0" width="16.66"/>
  </cols>
  <sheetData>
    <row r="2" customFormat="false" ht="15" hidden="false" customHeight="false" outlineLevel="0" collapsed="false">
      <c r="B2" s="1"/>
    </row>
    <row r="14" customFormat="false" ht="15" hidden="false" customHeight="false" outlineLevel="0" collapsed="false">
      <c r="B14" s="1"/>
    </row>
    <row r="18" customFormat="false" ht="15" hidden="false" customHeight="false" outlineLevel="0" collapsed="false">
      <c r="N18" s="2" t="s">
        <v>0</v>
      </c>
      <c r="O18" s="2" t="s">
        <v>1</v>
      </c>
      <c r="P18" s="2" t="s">
        <v>2</v>
      </c>
    </row>
    <row r="19" customFormat="false" ht="15" hidden="false" customHeight="false" outlineLevel="0" collapsed="false">
      <c r="N19" s="3" t="s">
        <v>3</v>
      </c>
      <c r="O19" s="4" t="s">
        <v>4</v>
      </c>
      <c r="P19" s="3" t="s">
        <v>5</v>
      </c>
    </row>
    <row r="20" customFormat="false" ht="15" hidden="false" customHeight="false" outlineLevel="0" collapsed="false">
      <c r="N20" s="5" t="s">
        <v>6</v>
      </c>
      <c r="O20" s="6" t="s">
        <v>7</v>
      </c>
      <c r="P20" s="5" t="s">
        <v>8</v>
      </c>
    </row>
    <row r="21" customFormat="false" ht="63.75" hidden="false" customHeight="false" outlineLevel="0" collapsed="false">
      <c r="N21" s="7" t="s">
        <v>9</v>
      </c>
      <c r="O21" s="8" t="s">
        <v>10</v>
      </c>
      <c r="P21" s="9" t="s">
        <v>11</v>
      </c>
    </row>
    <row r="22" customFormat="false" ht="15" hidden="false" customHeight="false" outlineLevel="0" collapsed="false">
      <c r="N22" s="5" t="s">
        <v>12</v>
      </c>
      <c r="O22" s="6" t="s">
        <v>13</v>
      </c>
      <c r="P22" s="5" t="s">
        <v>14</v>
      </c>
    </row>
    <row r="23" customFormat="false" ht="31.5" hidden="false" customHeight="false" outlineLevel="0" collapsed="false">
      <c r="N23" s="3" t="s">
        <v>15</v>
      </c>
      <c r="O23" s="4" t="s">
        <v>4</v>
      </c>
      <c r="P23" s="10" t="s">
        <v>16</v>
      </c>
    </row>
    <row r="24" customFormat="false" ht="15" hidden="false" customHeight="false" outlineLevel="0" collapsed="false">
      <c r="N24" s="5" t="s">
        <v>17</v>
      </c>
      <c r="O24" s="11" t="s">
        <v>18</v>
      </c>
      <c r="P24" s="12" t="s">
        <v>19</v>
      </c>
    </row>
    <row r="25" customFormat="false" ht="15" hidden="false" customHeight="false" outlineLevel="0" collapsed="false">
      <c r="N25" s="3" t="s">
        <v>20</v>
      </c>
      <c r="O25" s="4" t="s">
        <v>21</v>
      </c>
      <c r="P25" s="3" t="s">
        <v>22</v>
      </c>
    </row>
    <row r="26" customFormat="false" ht="15" hidden="false" customHeight="false" outlineLevel="0" collapsed="false">
      <c r="N26" s="5" t="s">
        <v>23</v>
      </c>
      <c r="O26" s="6" t="s">
        <v>4</v>
      </c>
      <c r="P26" s="5" t="s">
        <v>24</v>
      </c>
    </row>
    <row r="27" customFormat="false" ht="15" hidden="false" customHeight="false" outlineLevel="0" collapsed="false">
      <c r="N27" s="3" t="s">
        <v>25</v>
      </c>
      <c r="O27" s="4" t="s">
        <v>4</v>
      </c>
      <c r="P27" s="13" t="s">
        <v>26</v>
      </c>
    </row>
    <row r="28" customFormat="false" ht="15" hidden="false" customHeight="false" outlineLevel="0" collapsed="false">
      <c r="N28" s="5" t="s">
        <v>27</v>
      </c>
      <c r="O28" s="6" t="s">
        <v>28</v>
      </c>
      <c r="P28" s="5" t="s">
        <v>29</v>
      </c>
    </row>
    <row r="29" customFormat="false" ht="15" hidden="false" customHeight="false" outlineLevel="0" collapsed="false">
      <c r="N29" s="3" t="s">
        <v>30</v>
      </c>
      <c r="O29" s="4" t="s">
        <v>31</v>
      </c>
      <c r="P29" s="3" t="s">
        <v>32</v>
      </c>
    </row>
    <row r="30" customFormat="false" ht="15" hidden="false" customHeight="false" outlineLevel="0" collapsed="false">
      <c r="N30" s="5" t="s">
        <v>33</v>
      </c>
      <c r="O30" s="6" t="s">
        <v>34</v>
      </c>
      <c r="P30" s="5" t="s">
        <v>35</v>
      </c>
    </row>
    <row r="31" customFormat="false" ht="15" hidden="false" customHeight="false" outlineLevel="0" collapsed="false">
      <c r="N31" s="3" t="s">
        <v>36</v>
      </c>
      <c r="O31" s="4" t="s">
        <v>34</v>
      </c>
      <c r="P31" s="3" t="s">
        <v>37</v>
      </c>
    </row>
    <row r="32" customFormat="false" ht="15" hidden="false" customHeight="false" outlineLevel="0" collapsed="false">
      <c r="N32" s="5" t="s">
        <v>38</v>
      </c>
      <c r="O32" s="6" t="s">
        <v>7</v>
      </c>
      <c r="P32" s="5" t="s">
        <v>39</v>
      </c>
    </row>
    <row r="33" customFormat="false" ht="15" hidden="false" customHeight="false" outlineLevel="0" collapsed="false">
      <c r="N33" s="3" t="s">
        <v>40</v>
      </c>
      <c r="O33" s="4" t="s">
        <v>4</v>
      </c>
      <c r="P33" s="3" t="s">
        <v>41</v>
      </c>
    </row>
    <row r="34" customFormat="false" ht="15" hidden="false" customHeight="false" outlineLevel="0" collapsed="false">
      <c r="N34" s="5" t="s">
        <v>42</v>
      </c>
      <c r="O34" s="6" t="s">
        <v>4</v>
      </c>
      <c r="P34" s="5" t="s">
        <v>43</v>
      </c>
    </row>
    <row r="35" customFormat="false" ht="15" hidden="false" customHeight="false" outlineLevel="0" collapsed="false">
      <c r="N35" s="3" t="s">
        <v>44</v>
      </c>
      <c r="O35" s="4" t="s">
        <v>4</v>
      </c>
      <c r="P35" s="3" t="s">
        <v>45</v>
      </c>
    </row>
    <row r="36" customFormat="false" ht="15" hidden="false" customHeight="false" outlineLevel="0" collapsed="false">
      <c r="N36" s="5" t="s">
        <v>46</v>
      </c>
      <c r="O36" s="6" t="s">
        <v>4</v>
      </c>
      <c r="P36" s="5" t="s">
        <v>47</v>
      </c>
    </row>
    <row r="48" customFormat="false" ht="15" hidden="false" customHeight="false" outlineLevel="0" collapsed="false">
      <c r="K48" s="14"/>
    </row>
    <row r="49" customFormat="false" ht="15" hidden="false" customHeight="false" outlineLevel="0" collapsed="false">
      <c r="K49" s="14"/>
    </row>
    <row r="50" customFormat="false" ht="15" hidden="false" customHeight="false" outlineLevel="0" collapsed="false">
      <c r="K50" s="14"/>
    </row>
    <row r="51" customFormat="false" ht="15" hidden="false" customHeight="false" outlineLevel="0" collapsed="false">
      <c r="H51" s="15"/>
      <c r="I51" s="15"/>
    </row>
    <row r="52" customFormat="false" ht="15" hidden="false" customHeight="false" outlineLevel="0" collapsed="false">
      <c r="H52" s="15"/>
      <c r="I52" s="15"/>
    </row>
    <row r="53" customFormat="false" ht="15" hidden="false" customHeight="false" outlineLevel="0" collapsed="false">
      <c r="H53" s="15"/>
      <c r="I53" s="15"/>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E12" activeCellId="0" sqref="E12"/>
    </sheetView>
  </sheetViews>
  <sheetFormatPr defaultColWidth="8.5078125" defaultRowHeight="15" zeroHeight="false" outlineLevelRow="0" outlineLevelCol="0"/>
  <cols>
    <col collapsed="false" customWidth="true" hidden="false" outlineLevel="0" max="2" min="2" style="0" width="33.66"/>
  </cols>
  <sheetData>
    <row r="1" customFormat="false" ht="15" hidden="false" customHeight="false" outlineLevel="0" collapsed="false">
      <c r="A1" s="0" t="s">
        <v>48</v>
      </c>
      <c r="B1" s="0" t="s">
        <v>2</v>
      </c>
    </row>
    <row r="2" customFormat="false" ht="56.25" hidden="false" customHeight="true" outlineLevel="0" collapsed="false">
      <c r="A2" s="16"/>
      <c r="B2" s="17" t="s">
        <v>49</v>
      </c>
    </row>
    <row r="3" customFormat="false" ht="15.75" hidden="false" customHeight="false" outlineLevel="0" collapsed="false">
      <c r="A3" s="18"/>
      <c r="B3" s="17" t="s">
        <v>50</v>
      </c>
    </row>
    <row r="4" customFormat="false" ht="48" hidden="false" customHeight="false" outlineLevel="0" collapsed="false">
      <c r="A4" s="19"/>
      <c r="B4" s="17" t="s">
        <v>51</v>
      </c>
    </row>
    <row r="5" customFormat="false" ht="15.75" hidden="false" customHeight="false" outlineLevel="0" collapsed="false">
      <c r="A5" s="20"/>
      <c r="B5" s="17" t="s">
        <v>52</v>
      </c>
    </row>
    <row r="6" customFormat="false" ht="15.75" hidden="false" customHeight="false" outlineLevel="0" collapsed="false">
      <c r="A6" s="21"/>
      <c r="B6" s="17" t="s">
        <v>53</v>
      </c>
    </row>
    <row r="7" customFormat="false" ht="15.75" hidden="false" customHeight="false" outlineLevel="0" collapsed="false">
      <c r="A7" s="22"/>
      <c r="B7" s="17" t="s">
        <v>54</v>
      </c>
    </row>
    <row r="8" customFormat="false" ht="48" hidden="false" customHeight="false" outlineLevel="0" collapsed="false">
      <c r="A8" s="23"/>
      <c r="B8" s="17" t="s">
        <v>55</v>
      </c>
    </row>
    <row r="14" customFormat="false" ht="15" hidden="false" customHeight="false" outlineLevel="0" collapsed="false">
      <c r="J14" s="0" t="s">
        <v>56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2" activeCellId="0" sqref="H2"/>
    </sheetView>
  </sheetViews>
  <sheetFormatPr defaultColWidth="8.6640625" defaultRowHeight="15" zeroHeight="false" outlineLevelRow="0" outlineLevelCol="0"/>
  <cols>
    <col collapsed="false" customWidth="true" hidden="false" outlineLevel="0" max="1" min="1" style="24" width="19.33"/>
    <col collapsed="false" customWidth="true" hidden="false" outlineLevel="0" max="2" min="2" style="24" width="13.66"/>
    <col collapsed="false" customWidth="true" hidden="false" outlineLevel="0" max="3" min="3" style="24" width="13.51"/>
    <col collapsed="false" customWidth="true" hidden="false" outlineLevel="0" max="4" min="4" style="24" width="16"/>
    <col collapsed="false" customWidth="true" hidden="false" outlineLevel="0" max="5" min="5" style="24" width="14.33"/>
    <col collapsed="false" customWidth="true" hidden="false" outlineLevel="0" max="6" min="6" style="24" width="12"/>
    <col collapsed="false" customWidth="true" hidden="false" outlineLevel="0" max="7" min="7" style="24" width="16.5"/>
    <col collapsed="false" customWidth="false" hidden="false" outlineLevel="0" max="1024" min="8" style="24" width="8.66"/>
  </cols>
  <sheetData>
    <row r="1" customFormat="false" ht="31.5" hidden="false" customHeight="false" outlineLevel="0" collapsed="false">
      <c r="A1" s="25" t="s">
        <v>57</v>
      </c>
      <c r="B1" s="25" t="s">
        <v>58</v>
      </c>
      <c r="C1" s="25" t="s">
        <v>59</v>
      </c>
      <c r="D1" s="25" t="s">
        <v>60</v>
      </c>
      <c r="E1" s="25" t="s">
        <v>61</v>
      </c>
      <c r="F1" s="25" t="s">
        <v>62</v>
      </c>
      <c r="G1" s="25" t="s">
        <v>63</v>
      </c>
      <c r="H1" s="25" t="s">
        <v>64</v>
      </c>
    </row>
    <row r="2" customFormat="false" ht="60" hidden="false" customHeight="true" outlineLevel="0" collapsed="false">
      <c r="A2" s="24" t="s">
        <v>65</v>
      </c>
      <c r="B2" s="24" t="s">
        <v>66</v>
      </c>
      <c r="C2" s="24" t="s">
        <v>67</v>
      </c>
      <c r="D2" s="24" t="s">
        <v>68</v>
      </c>
      <c r="E2" s="24" t="s">
        <v>69</v>
      </c>
      <c r="F2" s="24" t="s">
        <v>70</v>
      </c>
      <c r="G2" s="24" t="s">
        <v>71</v>
      </c>
      <c r="H2" s="24" t="s">
        <v>72</v>
      </c>
    </row>
    <row r="3" customFormat="false" ht="15.75" hidden="false" customHeight="false" outlineLevel="0" collapsed="false">
      <c r="A3" s="24" t="s">
        <v>73</v>
      </c>
    </row>
    <row r="4" customFormat="false" ht="15.75" hidden="false" customHeight="false" outlineLevel="0" collapsed="false">
      <c r="A4" s="24" t="s">
        <v>74</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9"/>
  <sheetViews>
    <sheetView showFormulas="false" showGridLines="true" showRowColHeaders="true" showZeros="true" rightToLeft="false" tabSelected="false" showOutlineSymbols="true" defaultGridColor="true" view="normal" topLeftCell="R1" colorId="64" zoomScale="150" zoomScaleNormal="150" zoomScalePageLayoutView="100" workbookViewId="0">
      <selection pane="topLeft" activeCell="O3" activeCellId="0" sqref="O3"/>
    </sheetView>
  </sheetViews>
  <sheetFormatPr defaultColWidth="8.5078125" defaultRowHeight="15" zeroHeight="false" outlineLevelRow="0" outlineLevelCol="0"/>
  <cols>
    <col collapsed="false" customWidth="true" hidden="false" outlineLevel="0" max="3" min="2" style="0" width="17.67"/>
    <col collapsed="false" customWidth="true" hidden="false" outlineLevel="0" max="5" min="4" style="0" width="14.33"/>
    <col collapsed="false" customWidth="true" hidden="false" outlineLevel="0" max="6" min="6" style="0" width="14.66"/>
    <col collapsed="false" customWidth="true" hidden="false" outlineLevel="0" max="7" min="7" style="0" width="20.67"/>
    <col collapsed="false" customWidth="true" hidden="false" outlineLevel="0" max="8" min="8" style="0" width="16.33"/>
    <col collapsed="false" customWidth="true" hidden="false" outlineLevel="0" max="9" min="9" style="0" width="12.33"/>
    <col collapsed="false" customWidth="true" hidden="false" outlineLevel="0" max="13" min="10" style="0" width="14.66"/>
    <col collapsed="false" customWidth="true" hidden="false" outlineLevel="0" max="14" min="14" style="0" width="12.66"/>
    <col collapsed="false" customWidth="true" hidden="false" outlineLevel="0" max="16" min="15" style="0" width="14.66"/>
    <col collapsed="false" customWidth="true" hidden="false" outlineLevel="0" max="17" min="17" style="0" width="11.33"/>
    <col collapsed="false" customWidth="true" hidden="false" outlineLevel="0" max="19" min="18" style="0" width="15.66"/>
    <col collapsed="false" customWidth="true" hidden="false" outlineLevel="0" max="20" min="20" style="0" width="15.5"/>
    <col collapsed="false" customWidth="true" hidden="false" outlineLevel="0" max="22" min="21" style="0" width="19.67"/>
    <col collapsed="false" customWidth="true" hidden="false" outlineLevel="0" max="23" min="23" style="0" width="17.67"/>
    <col collapsed="false" customWidth="true" hidden="false" outlineLevel="0" max="24" min="24" style="0" width="14.66"/>
    <col collapsed="false" customWidth="true" hidden="false" outlineLevel="0" max="25" min="25" style="0" width="30.33"/>
    <col collapsed="false" customWidth="true" hidden="false" outlineLevel="0" max="26" min="26" style="0" width="13.51"/>
  </cols>
  <sheetData>
    <row r="1" customFormat="false" ht="15" hidden="false" customHeight="false" outlineLevel="0" collapsed="false">
      <c r="A1" s="26" t="s">
        <v>31</v>
      </c>
      <c r="D1" s="27" t="s">
        <v>75</v>
      </c>
      <c r="E1" s="27" t="s">
        <v>75</v>
      </c>
      <c r="G1" s="0" t="s">
        <v>76</v>
      </c>
      <c r="H1" s="0" t="s">
        <v>76</v>
      </c>
      <c r="I1" s="0" t="s">
        <v>77</v>
      </c>
      <c r="J1" s="0" t="s">
        <v>77</v>
      </c>
      <c r="N1" s="0" t="s">
        <v>77</v>
      </c>
    </row>
    <row r="2" s="27" customFormat="true" ht="33" hidden="false" customHeight="false" outlineLevel="0" collapsed="false">
      <c r="A2" s="28" t="s">
        <v>78</v>
      </c>
      <c r="B2" s="29" t="s">
        <v>79</v>
      </c>
      <c r="C2" s="29" t="s">
        <v>80</v>
      </c>
      <c r="D2" s="29" t="s">
        <v>81</v>
      </c>
      <c r="E2" s="29" t="s">
        <v>82</v>
      </c>
      <c r="F2" s="29" t="s">
        <v>83</v>
      </c>
      <c r="G2" s="30" t="s">
        <v>84</v>
      </c>
      <c r="H2" s="30" t="s">
        <v>85</v>
      </c>
      <c r="I2" s="30" t="s">
        <v>86</v>
      </c>
      <c r="J2" s="30" t="s">
        <v>87</v>
      </c>
      <c r="K2" s="30" t="s">
        <v>88</v>
      </c>
      <c r="L2" s="30" t="s">
        <v>23</v>
      </c>
      <c r="M2" s="30" t="s">
        <v>25</v>
      </c>
      <c r="N2" s="29" t="s">
        <v>27</v>
      </c>
      <c r="O2" s="29" t="s">
        <v>89</v>
      </c>
      <c r="P2" s="29" t="s">
        <v>90</v>
      </c>
      <c r="Q2" s="30" t="s">
        <v>91</v>
      </c>
      <c r="R2" s="29" t="s">
        <v>33</v>
      </c>
      <c r="S2" s="29" t="s">
        <v>36</v>
      </c>
      <c r="T2" s="29" t="s">
        <v>92</v>
      </c>
      <c r="U2" s="29" t="s">
        <v>93</v>
      </c>
      <c r="V2" s="29" t="s">
        <v>94</v>
      </c>
      <c r="W2" s="29" t="s">
        <v>95</v>
      </c>
      <c r="X2" s="29" t="s">
        <v>96</v>
      </c>
      <c r="Y2" s="29" t="s">
        <v>97</v>
      </c>
      <c r="Z2" s="29" t="s">
        <v>98</v>
      </c>
    </row>
    <row r="3" customFormat="false" ht="15.75" hidden="false" customHeight="false" outlineLevel="0" collapsed="false">
      <c r="B3" s="31" t="s">
        <v>99</v>
      </c>
      <c r="C3" s="31" t="s">
        <v>100</v>
      </c>
      <c r="D3" s="32" t="n">
        <v>2.8</v>
      </c>
      <c r="E3" s="32" t="n">
        <v>2.8</v>
      </c>
      <c r="F3" s="5" t="s">
        <v>101</v>
      </c>
      <c r="G3" s="32" t="n">
        <f aca="false">4900/P3</f>
        <v>700</v>
      </c>
      <c r="H3" s="33" t="n">
        <v>0.073</v>
      </c>
      <c r="I3" s="32" t="n">
        <f aca="false">30.2/Q3</f>
        <v>1.00666666666667</v>
      </c>
      <c r="J3" s="32" t="n">
        <f aca="false">1940/Q3</f>
        <v>64.6666666666667</v>
      </c>
      <c r="K3" s="34" t="n">
        <v>1</v>
      </c>
      <c r="L3" s="35" t="n">
        <f aca="false">RANDBETWEEN(1,40)/100</f>
        <v>0.06</v>
      </c>
      <c r="M3" s="35" t="n">
        <f aca="false">RANDBETWEEN(1,100)/100</f>
        <v>0.19</v>
      </c>
      <c r="N3" s="5" t="n">
        <f aca="false">RANDBETWEEN(50,200)</f>
        <v>196</v>
      </c>
      <c r="O3" s="32" t="n">
        <v>25</v>
      </c>
      <c r="P3" s="32" t="n">
        <v>7</v>
      </c>
      <c r="Q3" s="32" t="n">
        <v>30</v>
      </c>
      <c r="R3" s="5" t="n">
        <v>0</v>
      </c>
      <c r="S3" s="32" t="n">
        <v>0.8</v>
      </c>
      <c r="T3" s="35" t="n">
        <v>0</v>
      </c>
      <c r="U3" s="34" t="n">
        <v>999</v>
      </c>
      <c r="V3" s="36" t="n">
        <v>0</v>
      </c>
      <c r="W3" s="35" t="n">
        <v>0</v>
      </c>
      <c r="X3" s="35" t="n">
        <v>0</v>
      </c>
      <c r="Y3" s="33" t="n">
        <v>0.005</v>
      </c>
      <c r="Z3" s="5" t="s">
        <v>102</v>
      </c>
    </row>
    <row r="4" customFormat="false" ht="15.75" hidden="false" customHeight="false" outlineLevel="0" collapsed="false">
      <c r="B4" s="31" t="s">
        <v>99</v>
      </c>
      <c r="C4" s="31" t="s">
        <v>103</v>
      </c>
      <c r="D4" s="32" t="n">
        <v>2.8</v>
      </c>
      <c r="E4" s="32" t="n">
        <v>2.8</v>
      </c>
      <c r="F4" s="5" t="s">
        <v>101</v>
      </c>
      <c r="G4" s="32" t="n">
        <f aca="false">5070/P4</f>
        <v>633.75</v>
      </c>
      <c r="H4" s="33" t="n">
        <v>0.036</v>
      </c>
      <c r="I4" s="32" t="n">
        <f aca="false">9.57/Q4</f>
        <v>0.319</v>
      </c>
      <c r="J4" s="32" t="n">
        <f aca="false">756/Q4</f>
        <v>25.2</v>
      </c>
      <c r="K4" s="34" t="n">
        <v>1</v>
      </c>
      <c r="L4" s="35" t="n">
        <v>0.15</v>
      </c>
      <c r="M4" s="35" t="n">
        <f aca="false">RANDBETWEEN(1,100)/100</f>
        <v>0.62</v>
      </c>
      <c r="N4" s="5" t="n">
        <f aca="false">RANDBETWEEN(50,200)</f>
        <v>176</v>
      </c>
      <c r="O4" s="32" t="n">
        <v>25</v>
      </c>
      <c r="P4" s="32" t="n">
        <v>8</v>
      </c>
      <c r="Q4" s="32" t="n">
        <v>30</v>
      </c>
      <c r="R4" s="5" t="n">
        <v>0</v>
      </c>
      <c r="S4" s="32" t="n">
        <v>0.8</v>
      </c>
      <c r="T4" s="35" t="n">
        <v>0</v>
      </c>
      <c r="U4" s="34" t="n">
        <v>999</v>
      </c>
      <c r="V4" s="36" t="n">
        <v>0</v>
      </c>
      <c r="W4" s="35" t="n">
        <v>0</v>
      </c>
      <c r="X4" s="35" t="n">
        <v>0</v>
      </c>
      <c r="Y4" s="33" t="n">
        <v>0.005</v>
      </c>
      <c r="Z4" s="5" t="s">
        <v>102</v>
      </c>
    </row>
    <row r="5" customFormat="false" ht="15.75" hidden="false" customHeight="false" outlineLevel="0" collapsed="false">
      <c r="B5" s="31" t="s">
        <v>99</v>
      </c>
      <c r="C5" s="5" t="s">
        <v>104</v>
      </c>
      <c r="D5" s="32" t="n">
        <v>3.5</v>
      </c>
      <c r="E5" s="32" t="n">
        <v>3</v>
      </c>
      <c r="F5" s="5" t="s">
        <v>101</v>
      </c>
      <c r="G5" s="32" t="n">
        <f aca="false">1500/P5</f>
        <v>1500</v>
      </c>
      <c r="H5" s="37" t="n">
        <v>0.0185</v>
      </c>
      <c r="I5" s="32" t="n">
        <f aca="false">9.43/10</f>
        <v>0.943</v>
      </c>
      <c r="J5" s="32" t="n">
        <f aca="false">907/10</f>
        <v>90.7</v>
      </c>
      <c r="K5" s="34" t="n">
        <v>1</v>
      </c>
      <c r="L5" s="35" t="n">
        <v>0.33</v>
      </c>
      <c r="M5" s="35" t="n">
        <f aca="false">RANDBETWEEN(1,100)/100</f>
        <v>0.15</v>
      </c>
      <c r="N5" s="5" t="n">
        <f aca="false">RANDBETWEEN(50,200)</f>
        <v>163</v>
      </c>
      <c r="O5" s="32" t="n">
        <v>25</v>
      </c>
      <c r="P5" s="32" t="n">
        <v>1</v>
      </c>
      <c r="Q5" s="32" t="n">
        <v>10</v>
      </c>
      <c r="R5" s="5" t="n">
        <v>0</v>
      </c>
      <c r="S5" s="32" t="n">
        <v>-0.08</v>
      </c>
      <c r="T5" s="35" t="n">
        <v>0</v>
      </c>
      <c r="U5" s="34" t="n">
        <v>999</v>
      </c>
      <c r="V5" s="36" t="n">
        <v>0</v>
      </c>
      <c r="W5" s="35" t="n">
        <v>0</v>
      </c>
      <c r="X5" s="35" t="n">
        <v>0</v>
      </c>
      <c r="Y5" s="33" t="n">
        <v>0.005</v>
      </c>
      <c r="Z5" s="5" t="s">
        <v>102</v>
      </c>
    </row>
    <row r="6" customFormat="false" ht="15.75" hidden="false" customHeight="false" outlineLevel="0" collapsed="false">
      <c r="B6" s="31" t="s">
        <v>105</v>
      </c>
      <c r="C6" s="31" t="s">
        <v>106</v>
      </c>
      <c r="D6" s="32" t="n">
        <v>3</v>
      </c>
      <c r="E6" s="32" t="n">
        <v>2.8</v>
      </c>
      <c r="F6" s="5" t="s">
        <v>101</v>
      </c>
      <c r="G6" s="32" t="n">
        <f aca="false">450/P6</f>
        <v>173.076923076923</v>
      </c>
      <c r="H6" s="37" t="n">
        <v>0.04</v>
      </c>
      <c r="I6" s="32" t="n">
        <f aca="false">3.94/Q6</f>
        <v>1.85849056603774</v>
      </c>
      <c r="J6" s="32" t="n">
        <f aca="false">267/Q6</f>
        <v>125.943396226415</v>
      </c>
      <c r="K6" s="34" t="n">
        <v>1</v>
      </c>
      <c r="L6" s="35" t="n">
        <f aca="false">RANDBETWEEN(1,40)/100</f>
        <v>0.2</v>
      </c>
      <c r="M6" s="35" t="n">
        <f aca="false">RANDBETWEEN(1,100)/100</f>
        <v>0.42</v>
      </c>
      <c r="N6" s="5" t="n">
        <f aca="false">RANDBETWEEN(50,200)</f>
        <v>184</v>
      </c>
      <c r="O6" s="32" t="n">
        <v>10</v>
      </c>
      <c r="P6" s="32" t="n">
        <v>2.6</v>
      </c>
      <c r="Q6" s="32" t="n">
        <v>2.12</v>
      </c>
      <c r="R6" s="5" t="n">
        <v>0</v>
      </c>
      <c r="S6" s="32" t="n">
        <v>-0.066</v>
      </c>
      <c r="T6" s="35" t="n">
        <v>0</v>
      </c>
      <c r="U6" s="34" t="n">
        <v>999</v>
      </c>
      <c r="V6" s="36" t="n">
        <v>0</v>
      </c>
      <c r="W6" s="35" t="n">
        <v>0</v>
      </c>
      <c r="X6" s="35" t="n">
        <v>0</v>
      </c>
      <c r="Y6" s="33" t="n">
        <v>0.005</v>
      </c>
      <c r="Z6" s="5" t="s">
        <v>102</v>
      </c>
    </row>
    <row r="7" customFormat="false" ht="15.75" hidden="false" customHeight="false" outlineLevel="0" collapsed="false">
      <c r="B7" s="38" t="s">
        <v>107</v>
      </c>
      <c r="C7" s="31" t="s">
        <v>106</v>
      </c>
      <c r="D7" s="32" t="n">
        <v>1</v>
      </c>
      <c r="E7" s="32" t="n">
        <v>1</v>
      </c>
      <c r="F7" s="5" t="s">
        <v>101</v>
      </c>
      <c r="G7" s="32" t="n">
        <f aca="false">100/P7</f>
        <v>100</v>
      </c>
      <c r="H7" s="37" t="n">
        <v>0.02</v>
      </c>
      <c r="I7" s="39" t="n">
        <f aca="false">0.132/Q7</f>
        <v>0.066</v>
      </c>
      <c r="J7" s="39" t="n">
        <f aca="false">8.8/Q7</f>
        <v>4.4</v>
      </c>
      <c r="K7" s="34" t="n">
        <v>1</v>
      </c>
      <c r="L7" s="35" t="n">
        <f aca="false">RANDBETWEEN(1,40)/100</f>
        <v>0.23</v>
      </c>
      <c r="M7" s="35" t="n">
        <f aca="false">RANDBETWEEN(1,100)/100</f>
        <v>0.56</v>
      </c>
      <c r="N7" s="5" t="n">
        <f aca="false">RANDBETWEEN(50,200)</f>
        <v>128</v>
      </c>
      <c r="O7" s="32" t="n">
        <v>10</v>
      </c>
      <c r="P7" s="32" t="n">
        <v>1</v>
      </c>
      <c r="Q7" s="32" t="n">
        <v>2</v>
      </c>
      <c r="R7" s="5" t="n">
        <v>0</v>
      </c>
      <c r="S7" s="32" t="n">
        <v>0</v>
      </c>
      <c r="T7" s="35" t="n">
        <v>0</v>
      </c>
      <c r="U7" s="34" t="n">
        <v>999</v>
      </c>
      <c r="V7" s="36" t="n">
        <v>0</v>
      </c>
      <c r="W7" s="35" t="n">
        <v>0</v>
      </c>
      <c r="X7" s="35" t="n">
        <v>0</v>
      </c>
      <c r="Y7" s="33" t="n">
        <v>0.005</v>
      </c>
      <c r="Z7" s="5" t="s">
        <v>102</v>
      </c>
    </row>
    <row r="8" customFormat="false" ht="15.75" hidden="false" customHeight="false" outlineLevel="0" collapsed="false">
      <c r="B8" s="38" t="s">
        <v>108</v>
      </c>
      <c r="C8" s="31" t="s">
        <v>106</v>
      </c>
      <c r="D8" s="32" t="n">
        <v>1</v>
      </c>
      <c r="E8" s="32" t="n">
        <v>1</v>
      </c>
      <c r="F8" s="5" t="s">
        <v>101</v>
      </c>
      <c r="G8" s="40" t="n">
        <f aca="false">RANDBETWEEN(100,300)</f>
        <v>218</v>
      </c>
      <c r="H8" s="33" t="n">
        <f aca="false">RANDBETWEEN(0,10)/100</f>
        <v>0.01</v>
      </c>
      <c r="I8" s="39" t="n">
        <f aca="false">0.305/Q8</f>
        <v>0.0061</v>
      </c>
      <c r="J8" s="39" t="n">
        <f aca="false">20.3/Q8</f>
        <v>0.406</v>
      </c>
      <c r="K8" s="34" t="n">
        <v>1</v>
      </c>
      <c r="L8" s="35" t="n">
        <f aca="false">RANDBETWEEN(1,40)/100</f>
        <v>0.04</v>
      </c>
      <c r="M8" s="35" t="n">
        <f aca="false">RANDBETWEEN(1,100)/100</f>
        <v>0.78</v>
      </c>
      <c r="N8" s="5" t="n">
        <f aca="false">RANDBETWEEN(50,200)</f>
        <v>124</v>
      </c>
      <c r="O8" s="32" t="n">
        <v>10</v>
      </c>
      <c r="P8" s="40" t="n">
        <v>1</v>
      </c>
      <c r="Q8" s="32" t="n">
        <v>50</v>
      </c>
      <c r="R8" s="5" t="n">
        <v>0</v>
      </c>
      <c r="S8" s="40" t="n">
        <v>0</v>
      </c>
      <c r="T8" s="35" t="n">
        <v>0</v>
      </c>
      <c r="U8" s="34" t="n">
        <v>999</v>
      </c>
      <c r="V8" s="36" t="n">
        <v>0</v>
      </c>
      <c r="W8" s="35" t="n">
        <v>0</v>
      </c>
      <c r="X8" s="35" t="n">
        <v>0</v>
      </c>
      <c r="Y8" s="33" t="n">
        <v>0.005</v>
      </c>
      <c r="Z8" s="5" t="s">
        <v>102</v>
      </c>
    </row>
    <row r="9" customFormat="false" ht="15.75" hidden="false" customHeight="false" outlineLevel="0" collapsed="false">
      <c r="B9" s="31" t="s">
        <v>109</v>
      </c>
      <c r="C9" s="31" t="s">
        <v>110</v>
      </c>
      <c r="D9" s="32" t="n">
        <v>0.8</v>
      </c>
      <c r="E9" s="32" t="n">
        <v>1</v>
      </c>
      <c r="F9" s="31" t="s">
        <v>110</v>
      </c>
      <c r="G9" s="32" t="n">
        <f aca="false">312.08/P9</f>
        <v>312.08</v>
      </c>
      <c r="H9" s="37" t="n">
        <v>0.0656</v>
      </c>
      <c r="I9" s="32" t="n">
        <f aca="false">6.32/Q9</f>
        <v>0.632</v>
      </c>
      <c r="J9" s="32" t="n">
        <f aca="false">454/Q9</f>
        <v>45.4</v>
      </c>
      <c r="K9" s="34" t="n">
        <v>1</v>
      </c>
      <c r="L9" s="35" t="n">
        <f aca="false">RANDBETWEEN(1,40)/100</f>
        <v>0.06</v>
      </c>
      <c r="M9" s="35" t="n">
        <f aca="false">RANDBETWEEN(1,100)/100</f>
        <v>0.64</v>
      </c>
      <c r="N9" s="5" t="n">
        <f aca="false">RANDBETWEEN(50,200)</f>
        <v>147</v>
      </c>
      <c r="O9" s="32" t="n">
        <v>20</v>
      </c>
      <c r="P9" s="32" t="n">
        <v>1</v>
      </c>
      <c r="Q9" s="32" t="n">
        <v>10</v>
      </c>
      <c r="R9" s="5" t="n">
        <v>0</v>
      </c>
      <c r="S9" s="40" t="n">
        <v>0</v>
      </c>
      <c r="T9" s="35" t="n">
        <v>0</v>
      </c>
      <c r="U9" s="34" t="n">
        <v>999</v>
      </c>
      <c r="V9" s="36" t="n">
        <v>0</v>
      </c>
      <c r="W9" s="35" t="n">
        <v>0</v>
      </c>
      <c r="X9" s="35" t="n">
        <v>0</v>
      </c>
      <c r="Y9" s="33" t="n">
        <v>0.005</v>
      </c>
      <c r="Z9" s="5" t="s">
        <v>102</v>
      </c>
    </row>
    <row r="10" customFormat="false" ht="15.75" hidden="false" customHeight="false" outlineLevel="0" collapsed="false">
      <c r="B10" s="31" t="s">
        <v>109</v>
      </c>
      <c r="C10" s="38" t="s">
        <v>111</v>
      </c>
      <c r="D10" s="32" t="n">
        <v>0.85</v>
      </c>
      <c r="E10" s="32" t="n">
        <v>1</v>
      </c>
      <c r="F10" s="38" t="s">
        <v>111</v>
      </c>
      <c r="G10" s="32" t="n">
        <f aca="false">312.08/P10</f>
        <v>312.08</v>
      </c>
      <c r="H10" s="37" t="n">
        <v>0.0656</v>
      </c>
      <c r="I10" s="32" t="n">
        <f aca="false">6.32/Q10</f>
        <v>0.632</v>
      </c>
      <c r="J10" s="32" t="n">
        <f aca="false">454/Q10</f>
        <v>45.4</v>
      </c>
      <c r="K10" s="34" t="n">
        <v>1</v>
      </c>
      <c r="L10" s="35" t="n">
        <f aca="false">RANDBETWEEN(1,40)/100</f>
        <v>0.27</v>
      </c>
      <c r="M10" s="35" t="n">
        <f aca="false">RANDBETWEEN(1,100)/100</f>
        <v>0.49</v>
      </c>
      <c r="N10" s="5" t="n">
        <f aca="false">RANDBETWEEN(50,200)</f>
        <v>59</v>
      </c>
      <c r="O10" s="32" t="n">
        <v>20</v>
      </c>
      <c r="P10" s="32" t="n">
        <v>1</v>
      </c>
      <c r="Q10" s="32" t="n">
        <v>10</v>
      </c>
      <c r="R10" s="5" t="n">
        <v>0</v>
      </c>
      <c r="S10" s="32" t="n">
        <v>0</v>
      </c>
      <c r="T10" s="35" t="n">
        <v>0</v>
      </c>
      <c r="U10" s="34" t="n">
        <v>999</v>
      </c>
      <c r="V10" s="36" t="n">
        <v>0</v>
      </c>
      <c r="W10" s="35" t="n">
        <v>0</v>
      </c>
      <c r="X10" s="35" t="n">
        <v>0</v>
      </c>
      <c r="Y10" s="33" t="n">
        <v>0.005</v>
      </c>
      <c r="Z10" s="5" t="s">
        <v>102</v>
      </c>
    </row>
    <row r="11" customFormat="false" ht="15.75" hidden="false" customHeight="false" outlineLevel="0" collapsed="false">
      <c r="B11" s="31" t="s">
        <v>109</v>
      </c>
      <c r="C11" s="31" t="s">
        <v>112</v>
      </c>
      <c r="D11" s="32" t="n">
        <v>0.9</v>
      </c>
      <c r="E11" s="32" t="n">
        <v>1</v>
      </c>
      <c r="F11" s="31" t="s">
        <v>112</v>
      </c>
      <c r="G11" s="41" t="n">
        <f aca="false">156.01/P11</f>
        <v>156.01</v>
      </c>
      <c r="H11" s="37" t="n">
        <v>0.02</v>
      </c>
      <c r="I11" s="32" t="n">
        <f aca="false">6.32/Q11</f>
        <v>6.32</v>
      </c>
      <c r="J11" s="32" t="n">
        <f aca="false">454/O11</f>
        <v>18.16</v>
      </c>
      <c r="K11" s="34" t="n">
        <v>1</v>
      </c>
      <c r="L11" s="35" t="n">
        <f aca="false">RANDBETWEEN(1,40)/100</f>
        <v>0.12</v>
      </c>
      <c r="M11" s="35" t="n">
        <f aca="false">RANDBETWEEN(1,100)/100</f>
        <v>0.87</v>
      </c>
      <c r="N11" s="5" t="n">
        <f aca="false">RANDBETWEEN(50,200)</f>
        <v>97</v>
      </c>
      <c r="O11" s="40" t="n">
        <v>25</v>
      </c>
      <c r="P11" s="32" t="n">
        <v>1</v>
      </c>
      <c r="Q11" s="40" t="n">
        <v>1</v>
      </c>
      <c r="R11" s="5" t="n">
        <v>0</v>
      </c>
      <c r="S11" s="40" t="n">
        <v>0</v>
      </c>
      <c r="T11" s="35" t="n">
        <v>0</v>
      </c>
      <c r="U11" s="34" t="n">
        <v>999</v>
      </c>
      <c r="V11" s="36" t="n">
        <v>0</v>
      </c>
      <c r="W11" s="35" t="n">
        <v>0</v>
      </c>
      <c r="X11" s="35" t="n">
        <v>0</v>
      </c>
      <c r="Y11" s="33" t="n">
        <v>0.005</v>
      </c>
      <c r="Z11" s="5" t="s">
        <v>102</v>
      </c>
    </row>
    <row r="12" customFormat="false" ht="15.75" hidden="false" customHeight="false" outlineLevel="0" collapsed="false">
      <c r="B12" s="31" t="s">
        <v>109</v>
      </c>
      <c r="C12" s="38" t="s">
        <v>113</v>
      </c>
      <c r="D12" s="32" t="n">
        <v>0.78</v>
      </c>
      <c r="E12" s="32" t="n">
        <v>1</v>
      </c>
      <c r="F12" s="38" t="s">
        <v>113</v>
      </c>
      <c r="G12" s="32" t="n">
        <f aca="false">2500/P12</f>
        <v>54.3478260869565</v>
      </c>
      <c r="H12" s="33" t="n">
        <v>0.02</v>
      </c>
      <c r="I12" s="32" t="n">
        <f aca="false">8.6/Q12</f>
        <v>0.955555555555555</v>
      </c>
      <c r="J12" s="32" t="n">
        <f aca="false">682/Q12</f>
        <v>75.7777777777778</v>
      </c>
      <c r="K12" s="34" t="n">
        <v>1</v>
      </c>
      <c r="L12" s="35" t="n">
        <f aca="false">RANDBETWEEN(1,40)/100</f>
        <v>0.03</v>
      </c>
      <c r="M12" s="35" t="n">
        <f aca="false">RANDBETWEEN(1,100)/100</f>
        <v>0.35</v>
      </c>
      <c r="N12" s="5" t="n">
        <f aca="false">RANDBETWEEN(50,200)</f>
        <v>199</v>
      </c>
      <c r="O12" s="40" t="n">
        <v>25</v>
      </c>
      <c r="P12" s="32" t="n">
        <v>46</v>
      </c>
      <c r="Q12" s="32" t="n">
        <v>9</v>
      </c>
      <c r="R12" s="5" t="n">
        <v>0</v>
      </c>
      <c r="S12" s="32" t="n">
        <v>-0.083</v>
      </c>
      <c r="T12" s="35" t="n">
        <v>0</v>
      </c>
      <c r="U12" s="34" t="n">
        <v>999</v>
      </c>
      <c r="V12" s="36" t="n">
        <v>0</v>
      </c>
      <c r="W12" s="35" t="n">
        <v>0</v>
      </c>
      <c r="X12" s="35" t="n">
        <v>0</v>
      </c>
      <c r="Y12" s="33" t="n">
        <v>0.005</v>
      </c>
      <c r="Z12" s="5" t="s">
        <v>102</v>
      </c>
    </row>
    <row r="13" customFormat="false" ht="15.75" hidden="false" customHeight="false" outlineLevel="0" collapsed="false">
      <c r="B13" s="31" t="s">
        <v>109</v>
      </c>
      <c r="C13" s="38" t="s">
        <v>114</v>
      </c>
      <c r="D13" s="32" t="n">
        <v>0.77</v>
      </c>
      <c r="E13" s="32" t="n">
        <v>1</v>
      </c>
      <c r="F13" s="5" t="s">
        <v>112</v>
      </c>
      <c r="G13" s="41" t="n">
        <f aca="false">156.01/P13</f>
        <v>156.01</v>
      </c>
      <c r="H13" s="37" t="n">
        <v>0.02</v>
      </c>
      <c r="I13" s="32" t="n">
        <f aca="false">6.32/Q13</f>
        <v>6.32</v>
      </c>
      <c r="J13" s="32" t="n">
        <f aca="false">454/Q13</f>
        <v>454</v>
      </c>
      <c r="K13" s="34" t="n">
        <v>1</v>
      </c>
      <c r="L13" s="35" t="n">
        <f aca="false">RANDBETWEEN(1,40)/100</f>
        <v>0.03</v>
      </c>
      <c r="M13" s="35" t="n">
        <f aca="false">RANDBETWEEN(1,100)/100</f>
        <v>0.17</v>
      </c>
      <c r="N13" s="5" t="n">
        <f aca="false">RANDBETWEEN(50,200)</f>
        <v>97</v>
      </c>
      <c r="O13" s="32" t="n">
        <v>20</v>
      </c>
      <c r="P13" s="32" t="n">
        <v>1</v>
      </c>
      <c r="Q13" s="32" t="n">
        <v>1</v>
      </c>
      <c r="R13" s="5" t="n">
        <v>0</v>
      </c>
      <c r="S13" s="32" t="n">
        <v>0.74</v>
      </c>
      <c r="T13" s="35" t="n">
        <v>0</v>
      </c>
      <c r="U13" s="34" t="n">
        <v>999</v>
      </c>
      <c r="V13" s="36" t="n">
        <v>0</v>
      </c>
      <c r="W13" s="35" t="n">
        <v>0</v>
      </c>
      <c r="X13" s="35" t="n">
        <v>0</v>
      </c>
      <c r="Y13" s="33" t="n">
        <v>0.005</v>
      </c>
      <c r="Z13" s="5" t="s">
        <v>102</v>
      </c>
    </row>
    <row r="14" customFormat="false" ht="15.75" hidden="false" customHeight="false" outlineLevel="0" collapsed="false">
      <c r="B14" s="38" t="s">
        <v>115</v>
      </c>
      <c r="C14" s="38" t="s">
        <v>116</v>
      </c>
      <c r="D14" s="32" t="n">
        <v>0.95</v>
      </c>
      <c r="E14" s="32" t="n">
        <v>1</v>
      </c>
      <c r="F14" s="38" t="s">
        <v>115</v>
      </c>
      <c r="G14" s="42" t="n">
        <v>0</v>
      </c>
      <c r="H14" s="35" t="n">
        <v>0</v>
      </c>
      <c r="I14" s="5" t="n">
        <v>0</v>
      </c>
      <c r="J14" s="5" t="n">
        <v>0</v>
      </c>
      <c r="K14" s="34" t="n">
        <v>2</v>
      </c>
      <c r="L14" s="35" t="n">
        <f aca="false">RANDBETWEEN(1,40)/100</f>
        <v>0.16</v>
      </c>
      <c r="M14" s="35" t="n">
        <f aca="false">RANDBETWEEN(1,100)/100</f>
        <v>0.96</v>
      </c>
      <c r="N14" s="5" t="n">
        <f aca="false">RANDBETWEEN(50,200)</f>
        <v>149</v>
      </c>
      <c r="O14" s="5" t="n">
        <v>30</v>
      </c>
      <c r="P14" s="32" t="n">
        <v>130</v>
      </c>
      <c r="Q14" s="5" t="n">
        <v>1</v>
      </c>
      <c r="R14" s="5" t="n">
        <v>0</v>
      </c>
      <c r="S14" s="5" t="n">
        <v>0.6</v>
      </c>
      <c r="T14" s="35" t="n">
        <v>0</v>
      </c>
      <c r="U14" s="34" t="n">
        <v>999</v>
      </c>
      <c r="V14" s="36" t="n">
        <v>0</v>
      </c>
      <c r="W14" s="35" t="n">
        <v>0</v>
      </c>
      <c r="X14" s="35" t="n">
        <v>0</v>
      </c>
      <c r="Y14" s="33" t="n">
        <v>0.005</v>
      </c>
      <c r="Z14" s="5" t="s">
        <v>102</v>
      </c>
    </row>
    <row r="15" customFormat="false" ht="15.75" hidden="false" customHeight="false" outlineLevel="0" collapsed="false">
      <c r="B15" s="38" t="s">
        <v>117</v>
      </c>
      <c r="C15" s="38" t="s">
        <v>117</v>
      </c>
      <c r="D15" s="5" t="n">
        <v>1</v>
      </c>
      <c r="E15" s="5" t="n">
        <v>1</v>
      </c>
      <c r="F15" s="5" t="s">
        <v>117</v>
      </c>
      <c r="G15" s="5" t="n">
        <v>0</v>
      </c>
      <c r="H15" s="35" t="n">
        <v>0</v>
      </c>
      <c r="I15" s="5" t="n">
        <v>0</v>
      </c>
      <c r="J15" s="5" t="n">
        <v>0</v>
      </c>
      <c r="K15" s="5" t="n">
        <v>0</v>
      </c>
      <c r="L15" s="35" t="n">
        <v>0</v>
      </c>
      <c r="M15" s="35" t="n">
        <v>0</v>
      </c>
      <c r="N15" s="5" t="n">
        <v>0</v>
      </c>
      <c r="O15" s="5" t="n">
        <v>999</v>
      </c>
      <c r="P15" s="5" t="n">
        <v>1</v>
      </c>
      <c r="Q15" s="5" t="n">
        <v>1</v>
      </c>
      <c r="R15" s="5" t="n">
        <v>0</v>
      </c>
      <c r="S15" s="5" t="n">
        <v>0</v>
      </c>
      <c r="T15" s="35" t="n">
        <v>0</v>
      </c>
      <c r="U15" s="5" t="n">
        <v>999</v>
      </c>
      <c r="V15" s="35" t="n">
        <v>0</v>
      </c>
      <c r="W15" s="35" t="n">
        <v>0</v>
      </c>
      <c r="X15" s="35" t="n">
        <v>0</v>
      </c>
      <c r="Y15" s="35" t="n">
        <v>0.02</v>
      </c>
      <c r="Z15" s="5" t="s">
        <v>118</v>
      </c>
    </row>
    <row r="16" customFormat="false" ht="15.75" hidden="false" customHeight="false" outlineLevel="0" collapsed="false">
      <c r="B16" s="31" t="s">
        <v>119</v>
      </c>
      <c r="C16" s="31" t="s">
        <v>120</v>
      </c>
      <c r="D16" s="32" t="n">
        <v>2.8</v>
      </c>
      <c r="E16" s="32" t="n">
        <v>2.8</v>
      </c>
      <c r="F16" s="5" t="s">
        <v>101</v>
      </c>
      <c r="G16" s="32" t="n">
        <f aca="false">4900/P16</f>
        <v>700</v>
      </c>
      <c r="H16" s="33" t="n">
        <v>0.073</v>
      </c>
      <c r="I16" s="32" t="n">
        <f aca="false">30.2/Q16</f>
        <v>1.00666666666667</v>
      </c>
      <c r="J16" s="32" t="n">
        <f aca="false">1940/Q16</f>
        <v>64.6666666666667</v>
      </c>
      <c r="K16" s="34" t="n">
        <v>1</v>
      </c>
      <c r="L16" s="35" t="n">
        <f aca="false">RANDBETWEEN(1,40)/100</f>
        <v>0.35</v>
      </c>
      <c r="M16" s="35" t="n">
        <f aca="false">RANDBETWEEN(1,100)/100</f>
        <v>0.47</v>
      </c>
      <c r="N16" s="5" t="n">
        <f aca="false">RANDBETWEEN(50,200)</f>
        <v>184</v>
      </c>
      <c r="O16" s="32" t="n">
        <v>25</v>
      </c>
      <c r="P16" s="32" t="n">
        <v>7</v>
      </c>
      <c r="Q16" s="32" t="n">
        <v>30</v>
      </c>
      <c r="R16" s="5" t="n">
        <v>0</v>
      </c>
      <c r="S16" s="32" t="n">
        <v>0.8</v>
      </c>
      <c r="T16" s="35" t="n">
        <v>0</v>
      </c>
      <c r="U16" s="34" t="n">
        <v>999</v>
      </c>
      <c r="V16" s="36" t="n">
        <v>0</v>
      </c>
      <c r="W16" s="35" t="n">
        <v>0</v>
      </c>
      <c r="X16" s="35" t="n">
        <v>0</v>
      </c>
      <c r="Y16" s="33" t="n">
        <v>0.005</v>
      </c>
      <c r="Z16" s="5" t="s">
        <v>102</v>
      </c>
    </row>
    <row r="17" customFormat="false" ht="15.75" hidden="false" customHeight="false" outlineLevel="0" collapsed="false">
      <c r="B17" s="31" t="s">
        <v>121</v>
      </c>
      <c r="C17" s="31" t="s">
        <v>120</v>
      </c>
      <c r="D17" s="32" t="n">
        <v>2.8</v>
      </c>
      <c r="E17" s="32" t="n">
        <v>2.8</v>
      </c>
      <c r="F17" s="5" t="s">
        <v>101</v>
      </c>
      <c r="G17" s="32" t="n">
        <f aca="false">4900/P17</f>
        <v>700</v>
      </c>
      <c r="H17" s="33" t="n">
        <v>0.073</v>
      </c>
      <c r="I17" s="32" t="n">
        <f aca="false">30.2/Q17</f>
        <v>1.00666666666667</v>
      </c>
      <c r="J17" s="32" t="n">
        <f aca="false">1940/Q17</f>
        <v>64.6666666666667</v>
      </c>
      <c r="K17" s="34" t="n">
        <v>1</v>
      </c>
      <c r="L17" s="35" t="n">
        <f aca="false">RANDBETWEEN(1,40)/100</f>
        <v>0.25</v>
      </c>
      <c r="M17" s="35" t="n">
        <f aca="false">RANDBETWEEN(1,100)/100</f>
        <v>1</v>
      </c>
      <c r="N17" s="5" t="n">
        <f aca="false">RANDBETWEEN(50,200)</f>
        <v>57</v>
      </c>
      <c r="O17" s="32" t="n">
        <v>25</v>
      </c>
      <c r="P17" s="32" t="n">
        <v>7</v>
      </c>
      <c r="Q17" s="32" t="n">
        <v>30</v>
      </c>
      <c r="R17" s="5" t="n">
        <v>0</v>
      </c>
      <c r="S17" s="32" t="n">
        <v>0.8</v>
      </c>
      <c r="T17" s="35" t="n">
        <v>0</v>
      </c>
      <c r="U17" s="34" t="n">
        <v>999</v>
      </c>
      <c r="V17" s="36" t="n">
        <v>0</v>
      </c>
      <c r="W17" s="35" t="n">
        <v>0</v>
      </c>
      <c r="X17" s="35" t="n">
        <v>0</v>
      </c>
      <c r="Y17" s="33" t="n">
        <v>0.005</v>
      </c>
      <c r="Z17" s="5" t="s">
        <v>102</v>
      </c>
    </row>
    <row r="18" customFormat="false" ht="15.75" hidden="false" customHeight="false" outlineLevel="0" collapsed="false">
      <c r="B18" s="31" t="s">
        <v>122</v>
      </c>
      <c r="C18" s="31" t="s">
        <v>123</v>
      </c>
      <c r="D18" s="32" t="n">
        <v>2.8</v>
      </c>
      <c r="E18" s="32" t="n">
        <v>2.8</v>
      </c>
      <c r="F18" s="5" t="s">
        <v>101</v>
      </c>
      <c r="G18" s="32" t="n">
        <f aca="false">4900/P18</f>
        <v>700</v>
      </c>
      <c r="H18" s="33" t="n">
        <v>0.073</v>
      </c>
      <c r="I18" s="32" t="n">
        <f aca="false">30.2/Q18</f>
        <v>1.00666666666667</v>
      </c>
      <c r="J18" s="32" t="n">
        <f aca="false">1940/Q18</f>
        <v>64.6666666666667</v>
      </c>
      <c r="K18" s="34" t="n">
        <v>1</v>
      </c>
      <c r="L18" s="35" t="n">
        <f aca="false">RANDBETWEEN(1,40)/100</f>
        <v>0.3</v>
      </c>
      <c r="M18" s="35" t="n">
        <f aca="false">RANDBETWEEN(1,100)/100</f>
        <v>0.84</v>
      </c>
      <c r="N18" s="5" t="n">
        <f aca="false">RANDBETWEEN(50,200)</f>
        <v>109</v>
      </c>
      <c r="O18" s="32" t="n">
        <v>25</v>
      </c>
      <c r="P18" s="32" t="n">
        <v>7</v>
      </c>
      <c r="Q18" s="32" t="n">
        <v>30</v>
      </c>
      <c r="R18" s="5" t="n">
        <v>0</v>
      </c>
      <c r="S18" s="32" t="n">
        <v>0.8</v>
      </c>
      <c r="T18" s="35" t="n">
        <v>0</v>
      </c>
      <c r="U18" s="34" t="n">
        <v>999</v>
      </c>
      <c r="V18" s="36" t="n">
        <v>0</v>
      </c>
      <c r="W18" s="35" t="n">
        <v>0</v>
      </c>
      <c r="X18" s="35" t="n">
        <v>0</v>
      </c>
      <c r="Y18" s="33" t="n">
        <v>0.005</v>
      </c>
      <c r="Z18" s="5" t="s">
        <v>102</v>
      </c>
    </row>
    <row r="19" customFormat="false" ht="15.75" hidden="false" customHeight="false" outlineLevel="0" collapsed="false">
      <c r="B19" s="31" t="s">
        <v>99</v>
      </c>
      <c r="C19" s="31" t="s">
        <v>124</v>
      </c>
      <c r="D19" s="32" t="n">
        <v>2.8</v>
      </c>
      <c r="E19" s="32" t="n">
        <v>2.8</v>
      </c>
      <c r="F19" s="5" t="s">
        <v>101</v>
      </c>
      <c r="G19" s="32" t="n">
        <f aca="false">4900/P19</f>
        <v>700</v>
      </c>
      <c r="H19" s="33" t="n">
        <v>0.073</v>
      </c>
      <c r="I19" s="32" t="n">
        <f aca="false">30.2/Q19</f>
        <v>1.00666666666667</v>
      </c>
      <c r="J19" s="32" t="n">
        <f aca="false">1940/Q19</f>
        <v>64.6666666666667</v>
      </c>
      <c r="K19" s="34" t="n">
        <v>1</v>
      </c>
      <c r="L19" s="35" t="n">
        <f aca="false">RANDBETWEEN(1,40)/100</f>
        <v>0.05</v>
      </c>
      <c r="M19" s="35" t="n">
        <f aca="false">RANDBETWEEN(1,100)/100</f>
        <v>0.67</v>
      </c>
      <c r="N19" s="5" t="n">
        <f aca="false">RANDBETWEEN(50,200)</f>
        <v>90</v>
      </c>
      <c r="O19" s="32" t="n">
        <v>25</v>
      </c>
      <c r="P19" s="32" t="n">
        <v>7</v>
      </c>
      <c r="Q19" s="32" t="n">
        <v>30</v>
      </c>
      <c r="R19" s="5" t="n">
        <v>0</v>
      </c>
      <c r="S19" s="32" t="n">
        <v>0.8</v>
      </c>
      <c r="T19" s="35" t="n">
        <v>0</v>
      </c>
      <c r="U19" s="34" t="n">
        <v>999</v>
      </c>
      <c r="V19" s="36" t="n">
        <v>0</v>
      </c>
      <c r="W19" s="35" t="n">
        <v>0</v>
      </c>
      <c r="X19" s="35" t="n">
        <v>0</v>
      </c>
      <c r="Y19" s="33" t="n">
        <v>0.005</v>
      </c>
      <c r="Z19" s="5" t="s">
        <v>102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W27"/>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D29" activeCellId="0" sqref="D29"/>
    </sheetView>
  </sheetViews>
  <sheetFormatPr defaultColWidth="8.5078125" defaultRowHeight="15" zeroHeight="false" outlineLevelRow="0" outlineLevelCol="0"/>
  <cols>
    <col collapsed="false" customWidth="true" hidden="false" outlineLevel="0" max="1" min="1" style="0" width="15.5"/>
    <col collapsed="false" customWidth="true" hidden="false" outlineLevel="0" max="2" min="2" style="0" width="21.67"/>
    <col collapsed="false" customWidth="true" hidden="false" outlineLevel="0" max="3" min="3" style="0" width="13.66"/>
    <col collapsed="false" customWidth="true" hidden="false" outlineLevel="0" max="4" min="4" style="0" width="13.33"/>
    <col collapsed="false" customWidth="true" hidden="false" outlineLevel="0" max="5" min="5" style="0" width="16.5"/>
    <col collapsed="false" customWidth="true" hidden="false" outlineLevel="0" max="6" min="6" style="0" width="17.5"/>
    <col collapsed="false" customWidth="true" hidden="false" outlineLevel="0" max="7" min="7" style="0" width="13.66"/>
    <col collapsed="false" customWidth="true" hidden="false" outlineLevel="0" max="8" min="8" style="0" width="14.66"/>
    <col collapsed="false" customWidth="true" hidden="false" outlineLevel="0" max="10" min="9" style="0" width="13.66"/>
    <col collapsed="false" customWidth="true" hidden="false" outlineLevel="0" max="11" min="11" style="0" width="12.66"/>
    <col collapsed="false" customWidth="true" hidden="false" outlineLevel="0" max="13" min="12" style="0" width="8.66"/>
    <col collapsed="false" customWidth="true" hidden="false" outlineLevel="0" max="14" min="14" style="0" width="7.51"/>
    <col collapsed="false" customWidth="true" hidden="false" outlineLevel="0" max="15" min="15" style="0" width="9.51"/>
    <col collapsed="false" customWidth="true" hidden="false" outlineLevel="0" max="16" min="16" style="0" width="9.33"/>
    <col collapsed="false" customWidth="true" hidden="false" outlineLevel="0" max="17" min="17" style="0" width="18.67"/>
    <col collapsed="false" customWidth="true" hidden="false" outlineLevel="0" max="18" min="18" style="0" width="19"/>
    <col collapsed="false" customWidth="true" hidden="false" outlineLevel="0" max="19" min="19" style="0" width="19.67"/>
    <col collapsed="false" customWidth="true" hidden="false" outlineLevel="0" max="20" min="20" style="0" width="18.33"/>
    <col collapsed="false" customWidth="true" hidden="false" outlineLevel="0" max="22" min="21" style="0" width="30.33"/>
    <col collapsed="false" customWidth="true" hidden="false" outlineLevel="0" max="23" min="23" style="0" width="13.51"/>
  </cols>
  <sheetData>
    <row r="1" customFormat="false" ht="15" hidden="false" customHeight="false" outlineLevel="0" collapsed="false">
      <c r="A1" s="26" t="s">
        <v>31</v>
      </c>
      <c r="D1" s="0" t="s">
        <v>77</v>
      </c>
      <c r="E1" s="0" t="s">
        <v>75</v>
      </c>
      <c r="F1" s="0" t="s">
        <v>77</v>
      </c>
      <c r="G1" s="0" t="s">
        <v>77</v>
      </c>
      <c r="L1" s="0" t="s">
        <v>75</v>
      </c>
    </row>
    <row r="2" customFormat="false" ht="31.5" hidden="false" customHeight="false" outlineLevel="0" collapsed="false">
      <c r="A2" s="28" t="s">
        <v>125</v>
      </c>
      <c r="B2" s="29" t="s">
        <v>79</v>
      </c>
      <c r="C2" s="29" t="s">
        <v>126</v>
      </c>
      <c r="D2" s="30" t="s">
        <v>84</v>
      </c>
      <c r="E2" s="30" t="s">
        <v>85</v>
      </c>
      <c r="F2" s="30" t="s">
        <v>86</v>
      </c>
      <c r="G2" s="30" t="s">
        <v>87</v>
      </c>
      <c r="H2" s="30" t="s">
        <v>88</v>
      </c>
      <c r="I2" s="30" t="s">
        <v>23</v>
      </c>
      <c r="J2" s="30" t="s">
        <v>25</v>
      </c>
      <c r="K2" s="29" t="s">
        <v>27</v>
      </c>
      <c r="L2" s="29" t="s">
        <v>89</v>
      </c>
      <c r="M2" s="29" t="s">
        <v>90</v>
      </c>
      <c r="N2" s="30" t="s">
        <v>91</v>
      </c>
      <c r="O2" s="29" t="s">
        <v>33</v>
      </c>
      <c r="P2" s="29" t="s">
        <v>36</v>
      </c>
      <c r="Q2" s="29" t="s">
        <v>92</v>
      </c>
      <c r="R2" s="29" t="s">
        <v>93</v>
      </c>
      <c r="S2" s="29" t="s">
        <v>94</v>
      </c>
      <c r="T2" s="29" t="s">
        <v>95</v>
      </c>
      <c r="U2" s="29" t="s">
        <v>96</v>
      </c>
      <c r="V2" s="29" t="s">
        <v>97</v>
      </c>
      <c r="W2" s="29" t="s">
        <v>98</v>
      </c>
    </row>
    <row r="3" customFormat="false" ht="15" hidden="false" customHeight="false" outlineLevel="0" collapsed="false">
      <c r="B3" s="5" t="s">
        <v>127</v>
      </c>
      <c r="C3" s="5" t="n">
        <v>100</v>
      </c>
      <c r="D3" s="40" t="n">
        <f aca="false">RANDBETWEEN(100,300)</f>
        <v>158</v>
      </c>
      <c r="E3" s="33" t="n">
        <v>0.01</v>
      </c>
      <c r="F3" s="32" t="n">
        <f aca="false">41.41/N3</f>
        <v>3.76454545454545</v>
      </c>
      <c r="G3" s="32" t="n">
        <f aca="false">3057/N3</f>
        <v>277.909090909091</v>
      </c>
      <c r="H3" s="34" t="n">
        <v>1</v>
      </c>
      <c r="I3" s="35" t="n">
        <f aca="false">RANDBETWEEN(1,40)/100</f>
        <v>0.11</v>
      </c>
      <c r="J3" s="35" t="n">
        <f aca="false">RANDBETWEEN(1,100)/100</f>
        <v>0.04</v>
      </c>
      <c r="K3" s="35" t="n">
        <v>0</v>
      </c>
      <c r="L3" s="40" t="n">
        <v>20</v>
      </c>
      <c r="M3" s="40" t="n">
        <v>1</v>
      </c>
      <c r="N3" s="32" t="n">
        <v>11</v>
      </c>
      <c r="O3" s="40" t="n">
        <v>0</v>
      </c>
      <c r="P3" s="32" t="n">
        <v>0</v>
      </c>
      <c r="Q3" s="35" t="n">
        <v>0</v>
      </c>
      <c r="R3" s="34" t="n">
        <v>999</v>
      </c>
      <c r="S3" s="36" t="n">
        <v>0</v>
      </c>
      <c r="T3" s="35" t="n">
        <v>0</v>
      </c>
      <c r="U3" s="35" t="n">
        <v>0</v>
      </c>
      <c r="V3" s="33" t="n">
        <v>0.02</v>
      </c>
      <c r="W3" s="5" t="s">
        <v>102</v>
      </c>
    </row>
    <row r="4" customFormat="false" ht="15" hidden="false" customHeight="false" outlineLevel="0" collapsed="false">
      <c r="B4" s="5" t="s">
        <v>128</v>
      </c>
      <c r="C4" s="5" t="n">
        <v>100</v>
      </c>
      <c r="D4" s="40" t="n">
        <v>100</v>
      </c>
      <c r="E4" s="33" t="n">
        <v>0.01</v>
      </c>
      <c r="F4" s="32" t="n">
        <f aca="false">31.95/N4</f>
        <v>2.90454545454545</v>
      </c>
      <c r="G4" s="32" t="n">
        <f aca="false">2364/N4</f>
        <v>214.909090909091</v>
      </c>
      <c r="H4" s="34" t="n">
        <v>1</v>
      </c>
      <c r="I4" s="35" t="n">
        <f aca="false">RANDBETWEEN(1,40)/100</f>
        <v>0.26</v>
      </c>
      <c r="J4" s="35" t="n">
        <f aca="false">RANDBETWEEN(1,100)/100</f>
        <v>0.08</v>
      </c>
      <c r="K4" s="35" t="n">
        <v>0</v>
      </c>
      <c r="L4" s="40" t="n">
        <v>20</v>
      </c>
      <c r="M4" s="40" t="n">
        <v>1</v>
      </c>
      <c r="N4" s="32" t="n">
        <v>11</v>
      </c>
      <c r="O4" s="40" t="n">
        <v>0</v>
      </c>
      <c r="P4" s="32" t="n">
        <v>0</v>
      </c>
      <c r="Q4" s="35" t="n">
        <v>0</v>
      </c>
      <c r="R4" s="34" t="n">
        <v>999</v>
      </c>
      <c r="S4" s="36" t="n">
        <v>0</v>
      </c>
      <c r="T4" s="35" t="n">
        <v>0</v>
      </c>
      <c r="U4" s="35" t="n">
        <v>0</v>
      </c>
      <c r="V4" s="33" t="n">
        <v>0.02</v>
      </c>
      <c r="W4" s="5" t="s">
        <v>102</v>
      </c>
    </row>
    <row r="5" customFormat="false" ht="15" hidden="false" customHeight="false" outlineLevel="0" collapsed="false">
      <c r="B5" s="5" t="s">
        <v>129</v>
      </c>
      <c r="C5" s="5" t="n">
        <v>100</v>
      </c>
      <c r="D5" s="40" t="n">
        <v>200</v>
      </c>
      <c r="E5" s="33" t="n">
        <v>0.01</v>
      </c>
      <c r="F5" s="32" t="n">
        <f aca="false">33.35/N5</f>
        <v>3.03181818181818</v>
      </c>
      <c r="G5" s="32" t="n">
        <f aca="false">2639/N5</f>
        <v>239.909090909091</v>
      </c>
      <c r="H5" s="34" t="n">
        <v>1</v>
      </c>
      <c r="I5" s="35" t="n">
        <f aca="false">RANDBETWEEN(1,40)/100</f>
        <v>0.11</v>
      </c>
      <c r="J5" s="35" t="n">
        <f aca="false">RANDBETWEEN(1,100)/100</f>
        <v>0.58</v>
      </c>
      <c r="K5" s="35" t="n">
        <v>0</v>
      </c>
      <c r="L5" s="40" t="n">
        <v>20</v>
      </c>
      <c r="M5" s="40" t="n">
        <v>1</v>
      </c>
      <c r="N5" s="32" t="n">
        <v>11</v>
      </c>
      <c r="O5" s="40" t="n">
        <v>0</v>
      </c>
      <c r="P5" s="32" t="n">
        <v>0</v>
      </c>
      <c r="Q5" s="35" t="n">
        <v>0</v>
      </c>
      <c r="R5" s="34" t="n">
        <v>999</v>
      </c>
      <c r="S5" s="36" t="n">
        <v>0</v>
      </c>
      <c r="T5" s="35" t="n">
        <v>0</v>
      </c>
      <c r="U5" s="35" t="n">
        <v>0</v>
      </c>
      <c r="V5" s="33" t="n">
        <v>0.02</v>
      </c>
      <c r="W5" s="5" t="s">
        <v>102</v>
      </c>
    </row>
    <row r="6" customFormat="false" ht="15" hidden="false" customHeight="false" outlineLevel="0" collapsed="false">
      <c r="B6" s="5" t="s">
        <v>130</v>
      </c>
      <c r="C6" s="5" t="n">
        <v>100</v>
      </c>
      <c r="D6" s="32" t="n">
        <v>0</v>
      </c>
      <c r="E6" s="37" t="n">
        <v>0</v>
      </c>
      <c r="F6" s="32" t="n">
        <v>0</v>
      </c>
      <c r="G6" s="32" t="n">
        <v>0</v>
      </c>
      <c r="H6" s="34" t="n">
        <v>1</v>
      </c>
      <c r="I6" s="35" t="n">
        <v>0</v>
      </c>
      <c r="J6" s="35" t="n">
        <v>0</v>
      </c>
      <c r="K6" s="35" t="n">
        <v>0</v>
      </c>
      <c r="L6" s="32" t="n">
        <v>999</v>
      </c>
      <c r="M6" s="40" t="n">
        <v>1</v>
      </c>
      <c r="N6" s="32" t="n">
        <v>1</v>
      </c>
      <c r="O6" s="32" t="n">
        <v>0</v>
      </c>
      <c r="P6" s="32" t="n">
        <v>0</v>
      </c>
      <c r="Q6" s="35" t="n">
        <v>0</v>
      </c>
      <c r="R6" s="32" t="n">
        <v>999</v>
      </c>
      <c r="S6" s="37" t="n">
        <v>0</v>
      </c>
      <c r="T6" s="35" t="n">
        <v>0</v>
      </c>
      <c r="U6" s="35" t="n">
        <v>0</v>
      </c>
      <c r="V6" s="33" t="n">
        <v>0.02</v>
      </c>
      <c r="W6" s="5" t="s">
        <v>102</v>
      </c>
    </row>
    <row r="7" customFormat="false" ht="15" hidden="false" customHeight="false" outlineLevel="0" collapsed="false">
      <c r="B7" s="5" t="s">
        <v>131</v>
      </c>
      <c r="C7" s="5" t="n">
        <v>100</v>
      </c>
      <c r="D7" s="32" t="n">
        <f aca="false">1020.45/M7</f>
        <v>1020.45</v>
      </c>
      <c r="E7" s="37" t="n">
        <v>0.01</v>
      </c>
      <c r="F7" s="43" t="n">
        <f aca="false">23.9*0.0036*50</f>
        <v>4.302</v>
      </c>
      <c r="G7" s="43" t="n">
        <f aca="false">1.7*50</f>
        <v>85</v>
      </c>
      <c r="H7" s="34" t="n">
        <v>1</v>
      </c>
      <c r="I7" s="35" t="n">
        <v>0</v>
      </c>
      <c r="J7" s="35" t="n">
        <v>0</v>
      </c>
      <c r="K7" s="35" t="n">
        <v>0</v>
      </c>
      <c r="L7" s="32" t="n">
        <v>20</v>
      </c>
      <c r="M7" s="32" t="n">
        <v>1</v>
      </c>
      <c r="N7" s="43" t="n">
        <v>1</v>
      </c>
      <c r="O7" s="40" t="n">
        <v>0</v>
      </c>
      <c r="P7" s="40" t="n">
        <v>0</v>
      </c>
      <c r="Q7" s="35" t="n">
        <v>0</v>
      </c>
      <c r="R7" s="40" t="n">
        <v>999</v>
      </c>
      <c r="S7" s="33" t="n">
        <v>0</v>
      </c>
      <c r="T7" s="35" t="n">
        <v>0</v>
      </c>
      <c r="U7" s="35" t="n">
        <v>0</v>
      </c>
      <c r="V7" s="33" t="n">
        <v>0.02</v>
      </c>
      <c r="W7" s="5" t="s">
        <v>118</v>
      </c>
    </row>
    <row r="8" customFormat="false" ht="15" hidden="false" customHeight="false" outlineLevel="0" collapsed="false">
      <c r="B8" s="5" t="s">
        <v>117</v>
      </c>
      <c r="C8" s="5"/>
      <c r="D8" s="5" t="n">
        <v>0</v>
      </c>
      <c r="E8" s="35" t="n">
        <v>0</v>
      </c>
      <c r="F8" s="5" t="n">
        <v>0</v>
      </c>
      <c r="G8" s="5" t="n">
        <v>0</v>
      </c>
      <c r="H8" s="5" t="n">
        <v>0</v>
      </c>
      <c r="I8" s="5" t="n">
        <v>0</v>
      </c>
      <c r="J8" s="5" t="n">
        <v>0</v>
      </c>
      <c r="K8" s="5" t="n">
        <v>0</v>
      </c>
      <c r="L8" s="5" t="n">
        <v>999</v>
      </c>
      <c r="M8" s="5" t="n">
        <v>1</v>
      </c>
      <c r="N8" s="5" t="n">
        <v>1</v>
      </c>
      <c r="O8" s="5" t="n">
        <v>0</v>
      </c>
      <c r="P8" s="5" t="n">
        <v>0</v>
      </c>
      <c r="Q8" s="35" t="n">
        <v>0</v>
      </c>
      <c r="R8" s="35" t="n">
        <v>0</v>
      </c>
      <c r="S8" s="35" t="n">
        <v>0</v>
      </c>
      <c r="T8" s="35" t="n">
        <v>0</v>
      </c>
      <c r="U8" s="35" t="n">
        <v>0</v>
      </c>
      <c r="V8" s="35" t="n">
        <v>0</v>
      </c>
      <c r="W8" s="5" t="n">
        <v>0</v>
      </c>
    </row>
    <row r="9" customFormat="false" ht="15" hidden="false" customHeight="false" outlineLevel="0" collapsed="false">
      <c r="B9" s="5"/>
      <c r="C9" s="35"/>
      <c r="D9" s="5"/>
      <c r="E9" s="35"/>
      <c r="F9" s="5"/>
      <c r="G9" s="5"/>
      <c r="H9" s="35"/>
      <c r="I9" s="5"/>
      <c r="J9" s="5"/>
      <c r="K9" s="35"/>
      <c r="L9" s="5"/>
      <c r="M9" s="5"/>
      <c r="N9" s="5"/>
      <c r="O9" s="5"/>
      <c r="P9" s="5"/>
      <c r="Q9" s="5"/>
      <c r="R9" s="35"/>
      <c r="S9" s="35"/>
      <c r="T9" s="35"/>
      <c r="U9" s="35"/>
      <c r="V9" s="35"/>
      <c r="W9" s="5"/>
    </row>
    <row r="10" customFormat="false" ht="15" hidden="false" customHeight="false" outlineLevel="0" collapsed="false">
      <c r="B10" s="5"/>
      <c r="C10" s="35"/>
      <c r="D10" s="5"/>
      <c r="E10" s="35"/>
      <c r="F10" s="5"/>
      <c r="G10" s="5"/>
      <c r="H10" s="35"/>
      <c r="I10" s="5"/>
      <c r="J10" s="5"/>
      <c r="K10" s="35"/>
      <c r="L10" s="5"/>
      <c r="M10" s="5"/>
      <c r="N10" s="5"/>
      <c r="O10" s="5"/>
      <c r="P10" s="5"/>
      <c r="Q10" s="5"/>
      <c r="R10" s="35"/>
      <c r="S10" s="35"/>
      <c r="T10" s="35"/>
      <c r="U10" s="35"/>
      <c r="V10" s="35"/>
      <c r="W10" s="5"/>
    </row>
    <row r="11" customFormat="false" ht="15" hidden="false" customHeight="false" outlineLevel="0" collapsed="false">
      <c r="B11" s="5"/>
      <c r="C11" s="35"/>
      <c r="D11" s="5"/>
      <c r="E11" s="35"/>
      <c r="F11" s="5"/>
      <c r="G11" s="5"/>
      <c r="H11" s="35"/>
      <c r="I11" s="5"/>
      <c r="J11" s="5"/>
      <c r="K11" s="35"/>
      <c r="L11" s="5"/>
      <c r="M11" s="5"/>
      <c r="N11" s="5"/>
      <c r="O11" s="5"/>
      <c r="P11" s="5"/>
      <c r="Q11" s="5"/>
      <c r="R11" s="35"/>
      <c r="S11" s="35"/>
      <c r="T11" s="35"/>
      <c r="U11" s="35"/>
      <c r="V11" s="35"/>
      <c r="W11" s="5"/>
    </row>
    <row r="12" customFormat="false" ht="15" hidden="false" customHeight="false" outlineLevel="0" collapsed="false">
      <c r="B12" s="5"/>
      <c r="C12" s="35"/>
      <c r="D12" s="5"/>
      <c r="E12" s="35"/>
      <c r="F12" s="5"/>
      <c r="G12" s="5"/>
      <c r="H12" s="35"/>
      <c r="I12" s="5"/>
      <c r="J12" s="5"/>
      <c r="K12" s="35"/>
      <c r="L12" s="5"/>
      <c r="M12" s="5"/>
      <c r="N12" s="5"/>
      <c r="O12" s="5"/>
      <c r="P12" s="5"/>
      <c r="Q12" s="5"/>
      <c r="R12" s="35"/>
      <c r="S12" s="35"/>
      <c r="T12" s="35"/>
      <c r="U12" s="35"/>
      <c r="V12" s="35"/>
      <c r="W12" s="5"/>
    </row>
    <row r="13" customFormat="false" ht="15" hidden="false" customHeight="false" outlineLevel="0" collapsed="false">
      <c r="B13" s="5"/>
      <c r="C13" s="35"/>
      <c r="D13" s="5"/>
      <c r="E13" s="35"/>
      <c r="F13" s="5"/>
      <c r="G13" s="5"/>
      <c r="H13" s="35"/>
      <c r="I13" s="5"/>
      <c r="J13" s="5"/>
      <c r="K13" s="35"/>
      <c r="L13" s="5"/>
      <c r="M13" s="5"/>
      <c r="N13" s="5"/>
      <c r="O13" s="5"/>
      <c r="P13" s="5"/>
      <c r="Q13" s="5"/>
      <c r="R13" s="35"/>
      <c r="S13" s="35"/>
      <c r="T13" s="35"/>
      <c r="U13" s="35"/>
      <c r="V13" s="35"/>
      <c r="W13" s="5"/>
    </row>
    <row r="14" customFormat="false" ht="15" hidden="false" customHeight="false" outlineLevel="0" collapsed="false">
      <c r="A14" s="44" t="s">
        <v>132</v>
      </c>
      <c r="B14" s="5"/>
      <c r="C14" s="35"/>
      <c r="D14" s="5"/>
      <c r="E14" s="35"/>
      <c r="F14" s="5"/>
      <c r="G14" s="5"/>
      <c r="H14" s="35"/>
      <c r="I14" s="5"/>
      <c r="J14" s="5"/>
      <c r="K14" s="35"/>
      <c r="L14" s="5"/>
      <c r="M14" s="5"/>
      <c r="N14" s="5"/>
      <c r="O14" s="5"/>
      <c r="P14" s="5"/>
      <c r="Q14" s="5"/>
      <c r="R14" s="35"/>
      <c r="S14" s="35"/>
      <c r="T14" s="35"/>
      <c r="U14" s="35"/>
      <c r="V14" s="35"/>
      <c r="W14" s="5"/>
    </row>
    <row r="15" customFormat="false" ht="15" hidden="false" customHeight="false" outlineLevel="0" collapsed="false">
      <c r="B15" s="5"/>
      <c r="C15" s="35"/>
      <c r="D15" s="5"/>
      <c r="E15" s="35"/>
      <c r="F15" s="5"/>
      <c r="G15" s="5"/>
      <c r="H15" s="5"/>
      <c r="I15" s="5"/>
      <c r="J15" s="5"/>
      <c r="K15" s="35"/>
      <c r="L15" s="5"/>
      <c r="M15" s="5"/>
      <c r="N15" s="5"/>
      <c r="O15" s="5"/>
      <c r="P15" s="5"/>
      <c r="Q15" s="5"/>
      <c r="R15" s="35"/>
      <c r="S15" s="35"/>
      <c r="T15" s="35"/>
      <c r="U15" s="35"/>
      <c r="V15" s="35"/>
      <c r="W15" s="5"/>
    </row>
    <row r="16" customFormat="false" ht="15" hidden="false" customHeight="false" outlineLevel="0" collapsed="false">
      <c r="B16" s="5"/>
      <c r="C16" s="35"/>
      <c r="D16" s="5"/>
      <c r="E16" s="35"/>
      <c r="F16" s="5"/>
      <c r="G16" s="5"/>
      <c r="H16" s="5"/>
      <c r="I16" s="5"/>
      <c r="J16" s="5"/>
      <c r="K16" s="35"/>
      <c r="L16" s="5"/>
      <c r="M16" s="5"/>
      <c r="N16" s="5"/>
      <c r="O16" s="5"/>
      <c r="P16" s="5"/>
      <c r="Q16" s="5"/>
      <c r="R16" s="35"/>
      <c r="S16" s="35"/>
      <c r="T16" s="35"/>
      <c r="U16" s="35"/>
      <c r="V16" s="35"/>
      <c r="W16" s="5"/>
    </row>
    <row r="17" customFormat="false" ht="15" hidden="false" customHeight="false" outlineLevel="0" collapsed="false">
      <c r="B17" s="5"/>
      <c r="C17" s="35"/>
      <c r="D17" s="5"/>
      <c r="E17" s="35"/>
      <c r="F17" s="5"/>
      <c r="G17" s="5"/>
      <c r="H17" s="5"/>
      <c r="I17" s="5"/>
      <c r="J17" s="5"/>
      <c r="K17" s="35"/>
      <c r="L17" s="5"/>
      <c r="M17" s="5"/>
      <c r="N17" s="5"/>
      <c r="O17" s="5"/>
      <c r="P17" s="5"/>
      <c r="Q17" s="5"/>
      <c r="R17" s="35"/>
      <c r="S17" s="35"/>
      <c r="T17" s="35"/>
      <c r="U17" s="35"/>
      <c r="V17" s="35"/>
      <c r="W17" s="5"/>
    </row>
    <row r="18" customFormat="false" ht="15" hidden="false" customHeight="false" outlineLevel="0" collapsed="false">
      <c r="B18" s="5"/>
      <c r="C18" s="35"/>
      <c r="D18" s="5"/>
      <c r="E18" s="35"/>
      <c r="F18" s="5"/>
      <c r="G18" s="5"/>
      <c r="H18" s="5"/>
      <c r="I18" s="5"/>
      <c r="J18" s="5"/>
      <c r="K18" s="35"/>
      <c r="L18" s="5"/>
      <c r="M18" s="5"/>
      <c r="N18" s="5"/>
      <c r="O18" s="5"/>
      <c r="P18" s="5"/>
      <c r="Q18" s="5"/>
      <c r="R18" s="35"/>
      <c r="S18" s="35"/>
      <c r="T18" s="35"/>
      <c r="U18" s="35"/>
      <c r="V18" s="35"/>
      <c r="W18" s="5"/>
    </row>
    <row r="26" customFormat="false" ht="15" hidden="false" customHeight="false" outlineLevel="0" collapsed="false">
      <c r="A26" s="45" t="s">
        <v>133</v>
      </c>
      <c r="B26" s="45" t="s">
        <v>31</v>
      </c>
    </row>
    <row r="27" customFormat="false" ht="15" hidden="false" customHeight="false" outlineLevel="0" collapsed="false">
      <c r="A27" s="46" t="s">
        <v>131</v>
      </c>
      <c r="B27" s="46" t="s">
        <v>134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Y27"/>
  <sheetViews>
    <sheetView showFormulas="false" showGridLines="true" showRowColHeaders="true" showZeros="true" rightToLeft="false" tabSelected="false" showOutlineSymbols="true" defaultGridColor="true" view="normal" topLeftCell="A9" colorId="64" zoomScale="230" zoomScaleNormal="230" zoomScalePageLayoutView="100" workbookViewId="0">
      <selection pane="topLeft" activeCell="X2" activeCellId="0" sqref="X2"/>
    </sheetView>
  </sheetViews>
  <sheetFormatPr defaultColWidth="8.5078125" defaultRowHeight="15" zeroHeight="false" outlineLevelRow="0" outlineLevelCol="0"/>
  <cols>
    <col collapsed="false" customWidth="true" hidden="false" outlineLevel="0" max="2" min="2" style="0" width="13.51"/>
    <col collapsed="false" customWidth="true" hidden="false" outlineLevel="0" max="4" min="3" style="0" width="10.51"/>
    <col collapsed="false" customWidth="true" hidden="false" outlineLevel="0" max="5" min="5" style="0" width="20.33"/>
    <col collapsed="false" customWidth="true" hidden="false" outlineLevel="0" max="6" min="6" style="0" width="22.33"/>
    <col collapsed="false" customWidth="true" hidden="false" outlineLevel="0" max="7" min="7" style="0" width="10.33"/>
    <col collapsed="false" customWidth="true" hidden="false" outlineLevel="0" max="8" min="8" style="0" width="14.66"/>
    <col collapsed="false" customWidth="true" hidden="false" outlineLevel="0" max="13" min="9" style="0" width="11.51"/>
    <col collapsed="false" customWidth="true" hidden="false" outlineLevel="0" max="15" min="14" style="0" width="10.51"/>
    <col collapsed="false" customWidth="true" hidden="false" outlineLevel="0" max="16" min="16" style="0" width="10.33"/>
    <col collapsed="false" customWidth="true" hidden="false" outlineLevel="0" max="17" min="17" style="0" width="10.66"/>
    <col collapsed="false" customWidth="true" hidden="false" outlineLevel="0" max="18" min="18" style="0" width="9.33"/>
    <col collapsed="false" customWidth="true" hidden="false" outlineLevel="0" max="19" min="19" style="0" width="15.5"/>
    <col collapsed="false" customWidth="true" hidden="false" outlineLevel="0" max="20" min="20" style="0" width="18.67"/>
    <col collapsed="false" customWidth="true" hidden="false" outlineLevel="0" max="21" min="21" style="0" width="19"/>
    <col collapsed="false" customWidth="true" hidden="false" outlineLevel="0" max="22" min="22" style="0" width="17.67"/>
    <col collapsed="false" customWidth="true" hidden="false" outlineLevel="0" max="23" min="23" style="0" width="14.33"/>
    <col collapsed="false" customWidth="true" hidden="false" outlineLevel="0" max="24" min="24" style="0" width="30.33"/>
    <col collapsed="false" customWidth="true" hidden="false" outlineLevel="0" max="25" min="25" style="0" width="13.51"/>
  </cols>
  <sheetData>
    <row r="1" s="27" customFormat="true" ht="41.25" hidden="false" customHeight="true" outlineLevel="0" collapsed="false">
      <c r="A1" s="26" t="s">
        <v>31</v>
      </c>
      <c r="E1" s="47" t="s">
        <v>135</v>
      </c>
      <c r="F1" s="48" t="s">
        <v>136</v>
      </c>
      <c r="G1" s="48"/>
      <c r="H1" s="48"/>
      <c r="I1" s="48"/>
      <c r="J1" s="17"/>
      <c r="M1" s="27" t="s">
        <v>77</v>
      </c>
      <c r="X1" s="27" t="s">
        <v>137</v>
      </c>
    </row>
    <row r="2" customFormat="false" ht="31.5" hidden="false" customHeight="false" outlineLevel="0" collapsed="false">
      <c r="A2" s="28" t="s">
        <v>138</v>
      </c>
      <c r="B2" s="29" t="s">
        <v>79</v>
      </c>
      <c r="C2" s="29" t="s">
        <v>139</v>
      </c>
      <c r="D2" s="30" t="s">
        <v>140</v>
      </c>
      <c r="E2" s="29" t="s">
        <v>141</v>
      </c>
      <c r="F2" s="30" t="s">
        <v>84</v>
      </c>
      <c r="G2" s="30" t="s">
        <v>85</v>
      </c>
      <c r="H2" s="30" t="s">
        <v>86</v>
      </c>
      <c r="I2" s="30" t="s">
        <v>87</v>
      </c>
      <c r="J2" s="30" t="s">
        <v>88</v>
      </c>
      <c r="K2" s="30" t="s">
        <v>23</v>
      </c>
      <c r="L2" s="30" t="s">
        <v>25</v>
      </c>
      <c r="M2" s="29" t="s">
        <v>27</v>
      </c>
      <c r="N2" s="29" t="s">
        <v>89</v>
      </c>
      <c r="O2" s="29" t="s">
        <v>90</v>
      </c>
      <c r="P2" s="30" t="s">
        <v>91</v>
      </c>
      <c r="Q2" s="30" t="s">
        <v>33</v>
      </c>
      <c r="R2" s="29" t="s">
        <v>36</v>
      </c>
      <c r="S2" s="29" t="s">
        <v>92</v>
      </c>
      <c r="T2" s="29" t="s">
        <v>93</v>
      </c>
      <c r="U2" s="29" t="s">
        <v>94</v>
      </c>
      <c r="V2" s="29" t="s">
        <v>95</v>
      </c>
      <c r="W2" s="29" t="s">
        <v>96</v>
      </c>
      <c r="X2" s="29" t="s">
        <v>97</v>
      </c>
      <c r="Y2" s="49" t="s">
        <v>98</v>
      </c>
    </row>
    <row r="3" customFormat="false" ht="15" hidden="false" customHeight="false" outlineLevel="0" collapsed="false">
      <c r="B3" s="5" t="s">
        <v>142</v>
      </c>
      <c r="C3" s="6" t="n">
        <v>1</v>
      </c>
      <c r="D3" s="50" t="n">
        <v>1</v>
      </c>
      <c r="E3" s="6" t="n">
        <v>0.08</v>
      </c>
      <c r="F3" s="32" t="n">
        <v>500</v>
      </c>
      <c r="G3" s="37" t="n">
        <v>0.0005</v>
      </c>
      <c r="H3" s="51" t="n">
        <f aca="false">5733*0.0036</f>
        <v>20.6388</v>
      </c>
      <c r="I3" s="51" t="n">
        <v>-119.52</v>
      </c>
      <c r="J3" s="52" t="n">
        <v>1</v>
      </c>
      <c r="K3" s="35" t="n">
        <f aca="false">RANDBETWEEN(1,40)/100</f>
        <v>0.26</v>
      </c>
      <c r="L3" s="35" t="n">
        <f aca="false">RANDBETWEEN(1,100)/100</f>
        <v>0.17</v>
      </c>
      <c r="M3" s="5" t="n">
        <f aca="false">RANDBETWEEN(10,50)</f>
        <v>34</v>
      </c>
      <c r="N3" s="32" t="n">
        <v>60</v>
      </c>
      <c r="O3" s="32" t="n">
        <v>1</v>
      </c>
      <c r="P3" s="32" t="n">
        <v>1</v>
      </c>
      <c r="Q3" s="32" t="n">
        <v>0</v>
      </c>
      <c r="R3" s="32" t="n">
        <v>0</v>
      </c>
      <c r="S3" s="35" t="n">
        <v>0</v>
      </c>
      <c r="T3" s="40" t="n">
        <v>20</v>
      </c>
      <c r="U3" s="33" t="n">
        <v>0.1</v>
      </c>
      <c r="V3" s="35" t="n">
        <v>0</v>
      </c>
      <c r="W3" s="35" t="n">
        <v>0</v>
      </c>
      <c r="X3" s="33" t="n">
        <v>0.005</v>
      </c>
      <c r="Y3" s="5" t="s">
        <v>102</v>
      </c>
    </row>
    <row r="4" customFormat="false" ht="15" hidden="false" customHeight="false" outlineLevel="0" collapsed="false">
      <c r="B4" s="5" t="s">
        <v>143</v>
      </c>
      <c r="C4" s="6" t="n">
        <v>1</v>
      </c>
      <c r="D4" s="50" t="n">
        <v>3</v>
      </c>
      <c r="E4" s="6" t="n">
        <v>0.001</v>
      </c>
      <c r="F4" s="32" t="n">
        <v>208</v>
      </c>
      <c r="G4" s="37" t="n">
        <v>0.0005</v>
      </c>
      <c r="H4" s="51" t="n">
        <f aca="false">9041*0.0036</f>
        <v>32.5476</v>
      </c>
      <c r="I4" s="51" t="n">
        <v>702</v>
      </c>
      <c r="J4" s="52" t="n">
        <v>1</v>
      </c>
      <c r="K4" s="35" t="n">
        <f aca="false">RANDBETWEEN(1,40)/100</f>
        <v>0.13</v>
      </c>
      <c r="L4" s="35" t="n">
        <f aca="false">RANDBETWEEN(1,100)/100</f>
        <v>0.92</v>
      </c>
      <c r="M4" s="5" t="n">
        <f aca="false">RANDBETWEEN(10,50)</f>
        <v>45</v>
      </c>
      <c r="N4" s="32" t="n">
        <v>45</v>
      </c>
      <c r="O4" s="32" t="n">
        <v>1</v>
      </c>
      <c r="P4" s="32" t="n">
        <v>1</v>
      </c>
      <c r="Q4" s="32" t="n">
        <v>0</v>
      </c>
      <c r="R4" s="32" t="n">
        <v>0</v>
      </c>
      <c r="S4" s="35" t="n">
        <v>0</v>
      </c>
      <c r="T4" s="40" t="n">
        <v>999</v>
      </c>
      <c r="U4" s="33" t="n">
        <v>0</v>
      </c>
      <c r="V4" s="35" t="n">
        <v>0</v>
      </c>
      <c r="W4" s="35" t="n">
        <v>0</v>
      </c>
      <c r="X4" s="33" t="n">
        <v>0.005</v>
      </c>
      <c r="Y4" s="5" t="s">
        <v>102</v>
      </c>
    </row>
    <row r="5" customFormat="false" ht="15" hidden="false" customHeight="false" outlineLevel="0" collapsed="false">
      <c r="B5" s="5" t="s">
        <v>144</v>
      </c>
      <c r="C5" s="6" t="n">
        <v>1</v>
      </c>
      <c r="D5" s="50" t="n">
        <v>1.2</v>
      </c>
      <c r="E5" s="6" t="n">
        <v>0.02</v>
      </c>
      <c r="F5" s="32" t="n">
        <v>87</v>
      </c>
      <c r="G5" s="37" t="n">
        <v>0.0005</v>
      </c>
      <c r="H5" s="51" t="n">
        <f aca="false">5547*0.0036</f>
        <v>19.9692</v>
      </c>
      <c r="I5" s="51" t="n">
        <v>284.14</v>
      </c>
      <c r="J5" s="52" t="n">
        <v>1</v>
      </c>
      <c r="K5" s="35" t="n">
        <f aca="false">RANDBETWEEN(1,40)/100</f>
        <v>0.29</v>
      </c>
      <c r="L5" s="35" t="n">
        <f aca="false">RANDBETWEEN(1,100)/100</f>
        <v>0.39</v>
      </c>
      <c r="M5" s="5" t="n">
        <f aca="false">RANDBETWEEN(10,50)</f>
        <v>15</v>
      </c>
      <c r="N5" s="32" t="n">
        <v>30</v>
      </c>
      <c r="O5" s="32" t="n">
        <v>1</v>
      </c>
      <c r="P5" s="32" t="n">
        <v>1</v>
      </c>
      <c r="Q5" s="32" t="n">
        <v>0</v>
      </c>
      <c r="R5" s="32" t="n">
        <v>0</v>
      </c>
      <c r="S5" s="35" t="n">
        <v>0</v>
      </c>
      <c r="T5" s="40" t="n">
        <v>999</v>
      </c>
      <c r="U5" s="33" t="n">
        <v>0</v>
      </c>
      <c r="V5" s="35" t="n">
        <v>0</v>
      </c>
      <c r="W5" s="35" t="n">
        <v>0</v>
      </c>
      <c r="X5" s="33" t="n">
        <v>0.005</v>
      </c>
      <c r="Y5" s="5" t="s">
        <v>102</v>
      </c>
    </row>
    <row r="6" customFormat="false" ht="15" hidden="false" customHeight="false" outlineLevel="0" collapsed="false">
      <c r="B6" s="5" t="s">
        <v>145</v>
      </c>
      <c r="C6" s="6" t="n">
        <v>1</v>
      </c>
      <c r="D6" s="50" t="n">
        <f aca="false">1.05/C6</f>
        <v>1.05</v>
      </c>
      <c r="E6" s="6" t="n">
        <v>0.001</v>
      </c>
      <c r="F6" s="32" t="n">
        <v>250</v>
      </c>
      <c r="G6" s="37" t="n">
        <v>0.0005</v>
      </c>
      <c r="H6" s="43" t="n">
        <f aca="false">152.8*0.0036</f>
        <v>0.55008</v>
      </c>
      <c r="I6" s="53" t="n">
        <v>12.31</v>
      </c>
      <c r="J6" s="52" t="n">
        <v>1</v>
      </c>
      <c r="K6" s="35" t="n">
        <f aca="false">RANDBETWEEN(1,40)/100</f>
        <v>0.07</v>
      </c>
      <c r="L6" s="35" t="n">
        <f aca="false">RANDBETWEEN(1,100)/100</f>
        <v>0.5</v>
      </c>
      <c r="M6" s="5" t="n">
        <f aca="false">RANDBETWEEN(10,50)</f>
        <v>22</v>
      </c>
      <c r="N6" s="40" t="n">
        <v>40</v>
      </c>
      <c r="O6" s="32" t="n">
        <v>1</v>
      </c>
      <c r="P6" s="32" t="n">
        <v>1</v>
      </c>
      <c r="Q6" s="32" t="n">
        <v>0</v>
      </c>
      <c r="R6" s="32" t="n">
        <v>0</v>
      </c>
      <c r="S6" s="35" t="n">
        <v>0</v>
      </c>
      <c r="T6" s="40" t="n">
        <v>999</v>
      </c>
      <c r="U6" s="33" t="n">
        <v>0</v>
      </c>
      <c r="V6" s="35" t="n">
        <v>0</v>
      </c>
      <c r="W6" s="35" t="n">
        <v>0</v>
      </c>
      <c r="X6" s="33" t="n">
        <v>0.005</v>
      </c>
      <c r="Y6" s="5" t="s">
        <v>102</v>
      </c>
    </row>
    <row r="7" customFormat="false" ht="15" hidden="false" customHeight="false" outlineLevel="0" collapsed="false">
      <c r="B7" s="5" t="s">
        <v>145</v>
      </c>
      <c r="C7" s="6" t="n">
        <v>2</v>
      </c>
      <c r="D7" s="50" t="n">
        <f aca="false">1.05/C7</f>
        <v>0.525</v>
      </c>
      <c r="E7" s="6" t="n">
        <v>0.001</v>
      </c>
      <c r="F7" s="32" t="n">
        <v>350</v>
      </c>
      <c r="G7" s="37" t="n">
        <v>0.0005</v>
      </c>
      <c r="H7" s="43" t="n">
        <f aca="false">455.18*0.0036</f>
        <v>1.638648</v>
      </c>
      <c r="I7" s="53" t="n">
        <v>33.32</v>
      </c>
      <c r="J7" s="52" t="n">
        <v>1</v>
      </c>
      <c r="K7" s="35" t="n">
        <f aca="false">RANDBETWEEN(1,40)/100</f>
        <v>0.15</v>
      </c>
      <c r="L7" s="35" t="n">
        <f aca="false">RANDBETWEEN(1,100)/100</f>
        <v>0.06</v>
      </c>
      <c r="M7" s="5" t="n">
        <f aca="false">RANDBETWEEN(10,50)</f>
        <v>21</v>
      </c>
      <c r="N7" s="40" t="n">
        <v>40</v>
      </c>
      <c r="O7" s="32" t="n">
        <v>1</v>
      </c>
      <c r="P7" s="32" t="n">
        <v>1</v>
      </c>
      <c r="Q7" s="32" t="n">
        <v>0</v>
      </c>
      <c r="R7" s="32" t="n">
        <v>0</v>
      </c>
      <c r="S7" s="35" t="n">
        <v>0</v>
      </c>
      <c r="T7" s="40" t="n">
        <v>999</v>
      </c>
      <c r="U7" s="33" t="n">
        <v>0</v>
      </c>
      <c r="V7" s="35" t="n">
        <v>0</v>
      </c>
      <c r="W7" s="35" t="n">
        <v>0</v>
      </c>
      <c r="X7" s="33" t="n">
        <v>0.005</v>
      </c>
      <c r="Y7" s="5" t="s">
        <v>102</v>
      </c>
    </row>
    <row r="8" customFormat="false" ht="15" hidden="false" customHeight="false" outlineLevel="0" collapsed="false">
      <c r="B8" s="5" t="s">
        <v>145</v>
      </c>
      <c r="C8" s="6" t="n">
        <v>3</v>
      </c>
      <c r="D8" s="50" t="n">
        <f aca="false">1.05/C8</f>
        <v>0.35</v>
      </c>
      <c r="E8" s="6" t="n">
        <v>0.001</v>
      </c>
      <c r="F8" s="32" t="n">
        <v>450</v>
      </c>
      <c r="G8" s="37" t="n">
        <v>0.0005</v>
      </c>
      <c r="H8" s="43" t="n">
        <f aca="false">757.4*0.0036</f>
        <v>2.72664</v>
      </c>
      <c r="I8" s="53" t="n">
        <v>54.14</v>
      </c>
      <c r="J8" s="52" t="n">
        <v>1</v>
      </c>
      <c r="K8" s="35" t="n">
        <f aca="false">RANDBETWEEN(1,40)/100</f>
        <v>0.02</v>
      </c>
      <c r="L8" s="35" t="n">
        <f aca="false">RANDBETWEEN(1,100)/100</f>
        <v>0.51</v>
      </c>
      <c r="M8" s="5" t="n">
        <f aca="false">RANDBETWEEN(10,50)</f>
        <v>14</v>
      </c>
      <c r="N8" s="40" t="n">
        <v>40</v>
      </c>
      <c r="O8" s="32" t="n">
        <v>1</v>
      </c>
      <c r="P8" s="32" t="n">
        <v>1</v>
      </c>
      <c r="Q8" s="32" t="n">
        <v>0</v>
      </c>
      <c r="R8" s="32" t="n">
        <v>0</v>
      </c>
      <c r="S8" s="35" t="n">
        <v>0</v>
      </c>
      <c r="T8" s="40" t="n">
        <v>999</v>
      </c>
      <c r="U8" s="33" t="n">
        <v>0</v>
      </c>
      <c r="V8" s="35" t="n">
        <v>0</v>
      </c>
      <c r="W8" s="35" t="n">
        <v>0</v>
      </c>
      <c r="X8" s="33" t="n">
        <v>0.005</v>
      </c>
      <c r="Y8" s="5" t="s">
        <v>102</v>
      </c>
    </row>
    <row r="9" customFormat="false" ht="15" hidden="false" customHeight="false" outlineLevel="0" collapsed="false">
      <c r="B9" s="5" t="s">
        <v>146</v>
      </c>
      <c r="C9" s="6" t="n">
        <v>2</v>
      </c>
      <c r="D9" s="50" t="n">
        <f aca="false">0.8/C9</f>
        <v>0.4</v>
      </c>
      <c r="E9" s="6" t="n">
        <v>0.001</v>
      </c>
      <c r="F9" s="32" t="n">
        <f aca="false">400/O9</f>
        <v>400</v>
      </c>
      <c r="G9" s="37" t="n">
        <v>0.0005</v>
      </c>
      <c r="H9" s="43" t="n">
        <f aca="false">370*0.0036</f>
        <v>1.332</v>
      </c>
      <c r="I9" s="53" t="n">
        <v>28.23</v>
      </c>
      <c r="J9" s="52" t="n">
        <v>1</v>
      </c>
      <c r="K9" s="35" t="n">
        <f aca="false">RANDBETWEEN(1,40)/100</f>
        <v>0.25</v>
      </c>
      <c r="L9" s="35" t="n">
        <f aca="false">RANDBETWEEN(1,100)/100</f>
        <v>0.46</v>
      </c>
      <c r="M9" s="5" t="n">
        <f aca="false">RANDBETWEEN(10,50)</f>
        <v>20</v>
      </c>
      <c r="N9" s="40" t="n">
        <v>30</v>
      </c>
      <c r="O9" s="32" t="n">
        <v>1</v>
      </c>
      <c r="P9" s="32" t="n">
        <v>1</v>
      </c>
      <c r="Q9" s="32" t="n">
        <v>0</v>
      </c>
      <c r="R9" s="32" t="n">
        <v>0</v>
      </c>
      <c r="S9" s="35" t="n">
        <v>0</v>
      </c>
      <c r="T9" s="40" t="n">
        <v>999</v>
      </c>
      <c r="U9" s="33" t="n">
        <v>0</v>
      </c>
      <c r="V9" s="35" t="n">
        <v>0</v>
      </c>
      <c r="W9" s="35" t="n">
        <v>0</v>
      </c>
      <c r="X9" s="33" t="n">
        <v>0.005</v>
      </c>
      <c r="Y9" s="5" t="s">
        <v>102</v>
      </c>
    </row>
    <row r="10" customFormat="false" ht="15" hidden="false" customHeight="false" outlineLevel="0" collapsed="false">
      <c r="B10" s="5" t="s">
        <v>147</v>
      </c>
      <c r="C10" s="6" t="n">
        <v>1</v>
      </c>
      <c r="D10" s="50" t="n">
        <v>1</v>
      </c>
      <c r="E10" s="6" t="n">
        <v>0.08</v>
      </c>
      <c r="F10" s="32" t="n">
        <v>2970</v>
      </c>
      <c r="G10" s="37" t="n">
        <v>0.0005</v>
      </c>
      <c r="H10" s="43" t="n">
        <v>20.6388</v>
      </c>
      <c r="I10" s="53" t="n">
        <v>-119.52</v>
      </c>
      <c r="J10" s="52" t="n">
        <v>1</v>
      </c>
      <c r="K10" s="35" t="n">
        <v>0.23</v>
      </c>
      <c r="L10" s="35" t="n">
        <v>0.85</v>
      </c>
      <c r="M10" s="5" t="n">
        <v>50</v>
      </c>
      <c r="N10" s="40" t="n">
        <v>60</v>
      </c>
      <c r="O10" s="32" t="n">
        <v>1</v>
      </c>
      <c r="P10" s="32" t="n">
        <v>1</v>
      </c>
      <c r="Q10" s="32" t="n">
        <v>0</v>
      </c>
      <c r="R10" s="32" t="n">
        <v>0</v>
      </c>
      <c r="S10" s="35" t="n">
        <v>0</v>
      </c>
      <c r="T10" s="40" t="n">
        <v>20</v>
      </c>
      <c r="U10" s="33" t="n">
        <v>0.1</v>
      </c>
      <c r="V10" s="35" t="n">
        <v>0</v>
      </c>
      <c r="W10" s="35" t="n">
        <v>0</v>
      </c>
      <c r="X10" s="33" t="n">
        <v>0.005</v>
      </c>
      <c r="Y10" s="5" t="s">
        <v>102</v>
      </c>
    </row>
    <row r="11" customFormat="false" ht="15" hidden="false" customHeight="false" outlineLevel="0" collapsed="false">
      <c r="B11" s="5" t="s">
        <v>117</v>
      </c>
      <c r="C11" s="6" t="n">
        <v>1</v>
      </c>
      <c r="D11" s="6" t="n">
        <v>1</v>
      </c>
      <c r="E11" s="6" t="n">
        <v>0</v>
      </c>
      <c r="F11" s="5" t="n">
        <v>0</v>
      </c>
      <c r="G11" s="35" t="n">
        <v>0</v>
      </c>
      <c r="H11" s="5" t="n">
        <v>999</v>
      </c>
      <c r="I11" s="6" t="n">
        <v>0</v>
      </c>
      <c r="J11" s="6" t="n">
        <v>0</v>
      </c>
      <c r="K11" s="35" t="n">
        <f aca="false">RANDBETWEEN(1,40)/100</f>
        <v>0.13</v>
      </c>
      <c r="L11" s="35" t="n">
        <f aca="false">RANDBETWEEN(1,100)/100</f>
        <v>0.08</v>
      </c>
      <c r="M11" s="5" t="n">
        <v>1</v>
      </c>
      <c r="N11" s="5" t="n">
        <v>999</v>
      </c>
      <c r="O11" s="5" t="n">
        <v>1</v>
      </c>
      <c r="P11" s="5" t="n">
        <v>1</v>
      </c>
      <c r="Q11" s="5" t="n">
        <v>0</v>
      </c>
      <c r="R11" s="5" t="n">
        <v>0</v>
      </c>
      <c r="S11" s="35" t="n">
        <v>0</v>
      </c>
      <c r="T11" s="5" t="n">
        <v>0</v>
      </c>
      <c r="U11" s="35" t="n">
        <v>0</v>
      </c>
      <c r="V11" s="35" t="n">
        <v>0</v>
      </c>
      <c r="W11" s="35" t="n">
        <v>0</v>
      </c>
      <c r="X11" s="35" t="n">
        <v>0</v>
      </c>
      <c r="Y11" s="5" t="s">
        <v>118</v>
      </c>
    </row>
    <row r="12" customFormat="false" ht="15" hidden="false" customHeight="false" outlineLevel="0" collapsed="false">
      <c r="B12" s="5"/>
      <c r="C12" s="6"/>
      <c r="D12" s="6"/>
      <c r="E12" s="6"/>
      <c r="F12" s="5"/>
      <c r="G12" s="35"/>
      <c r="H12" s="5"/>
      <c r="I12" s="6"/>
      <c r="J12" s="6"/>
      <c r="K12" s="6"/>
      <c r="L12" s="6"/>
      <c r="M12" s="5"/>
      <c r="N12" s="5"/>
      <c r="O12" s="5"/>
      <c r="P12" s="5"/>
      <c r="Q12" s="5"/>
      <c r="R12" s="5"/>
      <c r="S12" s="35"/>
      <c r="T12" s="5"/>
      <c r="U12" s="35"/>
      <c r="V12" s="35"/>
      <c r="W12" s="35"/>
      <c r="X12" s="35"/>
      <c r="Y12" s="5"/>
    </row>
    <row r="13" customFormat="false" ht="15" hidden="false" customHeight="false" outlineLevel="0" collapsed="false">
      <c r="B13" s="5"/>
      <c r="C13" s="6"/>
      <c r="D13" s="6"/>
      <c r="E13" s="6"/>
      <c r="F13" s="5"/>
      <c r="G13" s="35"/>
      <c r="H13" s="5"/>
      <c r="I13" s="6"/>
      <c r="J13" s="6"/>
      <c r="K13" s="6"/>
      <c r="L13" s="6"/>
      <c r="M13" s="5"/>
      <c r="N13" s="5"/>
      <c r="O13" s="5"/>
      <c r="P13" s="5"/>
      <c r="Q13" s="5"/>
      <c r="R13" s="5"/>
      <c r="S13" s="35"/>
      <c r="T13" s="5"/>
      <c r="U13" s="35"/>
      <c r="V13" s="35"/>
      <c r="W13" s="35"/>
      <c r="X13" s="35"/>
      <c r="Y13" s="5"/>
    </row>
    <row r="14" customFormat="false" ht="15" hidden="false" customHeight="false" outlineLevel="0" collapsed="false">
      <c r="B14" s="5"/>
      <c r="C14" s="6"/>
      <c r="D14" s="6"/>
      <c r="E14" s="6"/>
      <c r="F14" s="5"/>
      <c r="G14" s="35"/>
      <c r="H14" s="5"/>
      <c r="I14" s="6"/>
      <c r="J14" s="6"/>
      <c r="K14" s="6"/>
      <c r="L14" s="6"/>
      <c r="M14" s="5"/>
      <c r="N14" s="5"/>
      <c r="O14" s="5"/>
      <c r="P14" s="5"/>
      <c r="Q14" s="5"/>
      <c r="R14" s="5"/>
      <c r="S14" s="35"/>
      <c r="T14" s="5"/>
      <c r="U14" s="35"/>
      <c r="V14" s="35"/>
      <c r="W14" s="35"/>
      <c r="X14" s="35"/>
      <c r="Y14" s="5"/>
    </row>
    <row r="15" customFormat="false" ht="15" hidden="false" customHeight="false" outlineLevel="0" collapsed="false">
      <c r="B15" s="5"/>
      <c r="C15" s="6"/>
      <c r="D15" s="6"/>
      <c r="E15" s="6"/>
      <c r="F15" s="5"/>
      <c r="G15" s="35"/>
      <c r="H15" s="5"/>
      <c r="I15" s="6"/>
      <c r="J15" s="6"/>
      <c r="K15" s="6"/>
      <c r="L15" s="6"/>
      <c r="M15" s="5"/>
      <c r="N15" s="5"/>
      <c r="O15" s="5"/>
      <c r="P15" s="5"/>
      <c r="Q15" s="5"/>
      <c r="R15" s="5"/>
      <c r="S15" s="35"/>
      <c r="T15" s="5"/>
      <c r="U15" s="35"/>
      <c r="V15" s="35"/>
      <c r="W15" s="35"/>
      <c r="X15" s="35"/>
      <c r="Y15" s="5"/>
    </row>
    <row r="19" customFormat="false" ht="15" hidden="false" customHeight="false" outlineLevel="0" collapsed="false">
      <c r="H19" s="54"/>
      <c r="I19" s="55" t="n">
        <v>3.18</v>
      </c>
      <c r="J19" s="55"/>
      <c r="K19" s="55" t="n">
        <v>-238</v>
      </c>
    </row>
    <row r="20" customFormat="false" ht="31.5" hidden="false" customHeight="false" outlineLevel="0" collapsed="false">
      <c r="B20" s="56" t="s">
        <v>148</v>
      </c>
      <c r="C20" s="57" t="s">
        <v>140</v>
      </c>
      <c r="D20" s="17"/>
      <c r="E20" s="27"/>
      <c r="F20" s="44" t="s">
        <v>149</v>
      </c>
      <c r="I20" s="55" t="n">
        <v>5.023</v>
      </c>
      <c r="J20" s="55"/>
      <c r="K20" s="55" t="n">
        <v>1405</v>
      </c>
    </row>
    <row r="21" customFormat="false" ht="15" hidden="false" customHeight="false" outlineLevel="0" collapsed="false">
      <c r="B21" s="58" t="s">
        <v>150</v>
      </c>
      <c r="C21" s="59" t="n">
        <v>1</v>
      </c>
      <c r="D21" s="54"/>
      <c r="E21" s="54"/>
      <c r="F21" s="60" t="s">
        <v>151</v>
      </c>
      <c r="G21" s="61" t="s">
        <v>152</v>
      </c>
      <c r="I21" s="55" t="n">
        <v>3.082</v>
      </c>
      <c r="J21" s="55"/>
      <c r="K21" s="55" t="n">
        <v>567</v>
      </c>
    </row>
    <row r="22" customFormat="false" ht="15" hidden="false" customHeight="false" outlineLevel="0" collapsed="false">
      <c r="B22" s="58" t="s">
        <v>153</v>
      </c>
      <c r="C22" s="59" t="n">
        <v>1.2</v>
      </c>
      <c r="D22" s="54"/>
      <c r="E22" s="54"/>
      <c r="F22" s="62" t="s">
        <v>154</v>
      </c>
      <c r="G22" s="63" t="n">
        <v>0.1</v>
      </c>
    </row>
    <row r="23" customFormat="false" ht="15" hidden="false" customHeight="false" outlineLevel="0" collapsed="false">
      <c r="B23" s="64" t="s">
        <v>155</v>
      </c>
      <c r="C23" s="65" t="n">
        <v>3</v>
      </c>
      <c r="D23" s="54"/>
      <c r="E23" s="54"/>
      <c r="F23" s="66" t="s">
        <v>156</v>
      </c>
      <c r="G23" s="67" t="n">
        <v>1.05</v>
      </c>
    </row>
    <row r="24" customFormat="false" ht="15" hidden="false" customHeight="false" outlineLevel="0" collapsed="false">
      <c r="F24" s="66" t="s">
        <v>157</v>
      </c>
      <c r="G24" s="68" t="n">
        <v>1.05</v>
      </c>
    </row>
    <row r="27" customFormat="false" ht="127.5" hidden="false" customHeight="false" outlineLevel="0" collapsed="false">
      <c r="C27" s="69" t="s">
        <v>158</v>
      </c>
      <c r="D27" s="69"/>
    </row>
  </sheetData>
  <mergeCells count="1">
    <mergeCell ref="F1:I1"/>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W87"/>
  <sheetViews>
    <sheetView showFormulas="false" showGridLines="true" showRowColHeaders="true" showZeros="true" rightToLeft="false" tabSelected="false" showOutlineSymbols="true" defaultGridColor="true" view="normal" topLeftCell="G1" colorId="64" zoomScale="160" zoomScaleNormal="160" zoomScalePageLayoutView="100" workbookViewId="0">
      <selection pane="topLeft" activeCell="M16" activeCellId="0" sqref="M16"/>
    </sheetView>
  </sheetViews>
  <sheetFormatPr defaultColWidth="8.5078125" defaultRowHeight="15" zeroHeight="false" outlineLevelRow="0" outlineLevelCol="0"/>
  <cols>
    <col collapsed="false" customWidth="true" hidden="false" outlineLevel="0" max="2" min="2" style="0" width="51.67"/>
    <col collapsed="false" customWidth="true" hidden="false" outlineLevel="0" max="3" min="3" style="0" width="14.5"/>
    <col collapsed="false" customWidth="true" hidden="false" outlineLevel="0" max="4" min="4" style="0" width="13.66"/>
    <col collapsed="false" customWidth="true" hidden="false" outlineLevel="0" max="5" min="5" style="0" width="15.33"/>
    <col collapsed="false" customWidth="true" hidden="false" outlineLevel="0" max="6" min="6" style="0" width="11.33"/>
    <col collapsed="false" customWidth="true" hidden="false" outlineLevel="0" max="8" min="7" style="0" width="14.66"/>
    <col collapsed="false" customWidth="true" hidden="false" outlineLevel="0" max="10" min="9" style="0" width="16.5"/>
    <col collapsed="false" customWidth="true" hidden="false" outlineLevel="0" max="11" min="11" style="0" width="11.51"/>
    <col collapsed="false" customWidth="true" hidden="false" outlineLevel="0" max="12" min="12" style="0" width="8.66"/>
    <col collapsed="false" customWidth="true" hidden="false" outlineLevel="0" max="13" min="13" style="0" width="10.33"/>
    <col collapsed="false" customWidth="true" hidden="false" outlineLevel="0" max="15" min="14" style="0" width="9.51"/>
    <col collapsed="false" customWidth="true" hidden="false" outlineLevel="0" max="16" min="16" style="0" width="9.33"/>
    <col collapsed="false" customWidth="true" hidden="false" outlineLevel="0" max="17" min="17" style="0" width="15"/>
    <col collapsed="false" customWidth="true" hidden="false" outlineLevel="0" max="18" min="18" style="0" width="19.67"/>
    <col collapsed="false" customWidth="true" hidden="false" outlineLevel="0" max="19" min="19" style="0" width="19"/>
    <col collapsed="false" customWidth="true" hidden="false" outlineLevel="0" max="20" min="20" style="0" width="17.67"/>
    <col collapsed="false" customWidth="true" hidden="false" outlineLevel="0" max="21" min="21" style="0" width="14.5"/>
    <col collapsed="false" customWidth="true" hidden="false" outlineLevel="0" max="22" min="22" style="0" width="30.33"/>
    <col collapsed="false" customWidth="true" hidden="false" outlineLevel="0" max="23" min="23" style="0" width="13.51"/>
  </cols>
  <sheetData>
    <row r="1" s="54" customFormat="true" ht="15" hidden="false" customHeight="false" outlineLevel="0" collapsed="false">
      <c r="A1" s="26" t="s">
        <v>31</v>
      </c>
      <c r="C1" s="54" t="s">
        <v>159</v>
      </c>
      <c r="D1" s="54" t="s">
        <v>159</v>
      </c>
      <c r="E1" s="54" t="s">
        <v>160</v>
      </c>
      <c r="F1" s="54" t="s">
        <v>76</v>
      </c>
      <c r="G1" s="27"/>
      <c r="H1" s="27"/>
      <c r="I1" s="27"/>
      <c r="J1" s="27"/>
      <c r="K1" s="54" t="s">
        <v>161</v>
      </c>
      <c r="L1" s="54" t="s">
        <v>75</v>
      </c>
      <c r="Q1" s="54" t="s">
        <v>75</v>
      </c>
      <c r="R1" s="54" t="s">
        <v>75</v>
      </c>
      <c r="S1" s="54" t="s">
        <v>75</v>
      </c>
      <c r="T1" s="54" t="s">
        <v>75</v>
      </c>
      <c r="U1" s="54" t="s">
        <v>75</v>
      </c>
      <c r="V1" s="54" t="s">
        <v>75</v>
      </c>
    </row>
    <row r="2" customFormat="false" ht="44.25" hidden="false" customHeight="true" outlineLevel="0" collapsed="false">
      <c r="A2" s="28" t="s">
        <v>162</v>
      </c>
      <c r="B2" s="70" t="s">
        <v>79</v>
      </c>
      <c r="C2" s="30" t="s">
        <v>140</v>
      </c>
      <c r="D2" s="30" t="s">
        <v>84</v>
      </c>
      <c r="E2" s="30" t="s">
        <v>85</v>
      </c>
      <c r="F2" s="30" t="s">
        <v>86</v>
      </c>
      <c r="G2" s="30" t="s">
        <v>87</v>
      </c>
      <c r="H2" s="30" t="s">
        <v>88</v>
      </c>
      <c r="I2" s="30" t="s">
        <v>23</v>
      </c>
      <c r="J2" s="30" t="s">
        <v>25</v>
      </c>
      <c r="K2" s="29" t="s">
        <v>27</v>
      </c>
      <c r="L2" s="29" t="s">
        <v>89</v>
      </c>
      <c r="M2" s="29" t="s">
        <v>90</v>
      </c>
      <c r="N2" s="30" t="s">
        <v>91</v>
      </c>
      <c r="O2" s="30" t="s">
        <v>33</v>
      </c>
      <c r="P2" s="29" t="s">
        <v>36</v>
      </c>
      <c r="Q2" s="49" t="s">
        <v>92</v>
      </c>
      <c r="R2" s="49" t="s">
        <v>93</v>
      </c>
      <c r="S2" s="49" t="s">
        <v>94</v>
      </c>
      <c r="T2" s="49" t="s">
        <v>95</v>
      </c>
      <c r="U2" s="49" t="s">
        <v>96</v>
      </c>
      <c r="V2" s="29" t="s">
        <v>97</v>
      </c>
      <c r="W2" s="49" t="s">
        <v>98</v>
      </c>
    </row>
    <row r="3" customFormat="false" ht="15.75" hidden="false" customHeight="false" outlineLevel="0" collapsed="false">
      <c r="B3" s="71" t="s">
        <v>163</v>
      </c>
      <c r="C3" s="72" t="n">
        <v>0.03</v>
      </c>
      <c r="D3" s="73" t="n">
        <v>48</v>
      </c>
      <c r="E3" s="74" t="n">
        <v>0</v>
      </c>
      <c r="F3" s="73" t="n">
        <v>0.56129032</v>
      </c>
      <c r="G3" s="73" t="n">
        <v>41.61290323</v>
      </c>
      <c r="H3" s="75" t="n">
        <v>1</v>
      </c>
      <c r="I3" s="35" t="n">
        <f aca="false">RANDBETWEEN(1,40)/100</f>
        <v>0.08</v>
      </c>
      <c r="J3" s="35" t="n">
        <f aca="false">RANDBETWEEN(1,100)/100</f>
        <v>0.72</v>
      </c>
      <c r="K3" s="71" t="n">
        <v>115</v>
      </c>
      <c r="L3" s="76" t="n">
        <v>50</v>
      </c>
      <c r="M3" s="73" t="n">
        <v>1</v>
      </c>
      <c r="N3" s="73" t="n">
        <v>0.031</v>
      </c>
      <c r="O3" s="72" t="n">
        <v>0</v>
      </c>
      <c r="P3" s="72" t="n">
        <v>0</v>
      </c>
      <c r="Q3" s="35" t="n">
        <v>0</v>
      </c>
      <c r="R3" s="32" t="n">
        <v>999</v>
      </c>
      <c r="S3" s="37" t="n">
        <v>0</v>
      </c>
      <c r="T3" s="35" t="n">
        <v>0</v>
      </c>
      <c r="U3" s="35" t="n">
        <v>0</v>
      </c>
      <c r="V3" s="37" t="n">
        <v>0.01</v>
      </c>
      <c r="W3" s="5" t="s">
        <v>102</v>
      </c>
    </row>
    <row r="4" customFormat="false" ht="15.75" hidden="false" customHeight="false" outlineLevel="0" collapsed="false">
      <c r="B4" s="71" t="s">
        <v>164</v>
      </c>
      <c r="C4" s="77" t="n">
        <v>0.035</v>
      </c>
      <c r="D4" s="78" t="n">
        <v>105</v>
      </c>
      <c r="E4" s="79" t="n">
        <v>0</v>
      </c>
      <c r="F4" s="78" t="n">
        <v>1.716</v>
      </c>
      <c r="G4" s="78" t="n">
        <v>101.2</v>
      </c>
      <c r="H4" s="75" t="n">
        <v>1</v>
      </c>
      <c r="I4" s="35" t="n">
        <f aca="false">RANDBETWEEN(1,40)/100</f>
        <v>0.38</v>
      </c>
      <c r="J4" s="35" t="n">
        <f aca="false">RANDBETWEEN(1,100)/100</f>
        <v>0.74</v>
      </c>
      <c r="K4" s="71" t="n">
        <v>116</v>
      </c>
      <c r="L4" s="80" t="n">
        <v>100</v>
      </c>
      <c r="M4" s="78" t="n">
        <v>1</v>
      </c>
      <c r="N4" s="78" t="n">
        <v>0.025</v>
      </c>
      <c r="O4" s="72" t="n">
        <v>0</v>
      </c>
      <c r="P4" s="72" t="n">
        <v>0</v>
      </c>
      <c r="Q4" s="35" t="n">
        <v>0</v>
      </c>
      <c r="R4" s="32" t="n">
        <v>999</v>
      </c>
      <c r="S4" s="37" t="n">
        <v>0</v>
      </c>
      <c r="T4" s="35" t="n">
        <v>0</v>
      </c>
      <c r="U4" s="35" t="n">
        <v>0</v>
      </c>
      <c r="V4" s="33" t="n">
        <v>0.01</v>
      </c>
      <c r="W4" s="5" t="s">
        <v>102</v>
      </c>
    </row>
    <row r="5" customFormat="false" ht="15.75" hidden="false" customHeight="false" outlineLevel="0" collapsed="false">
      <c r="B5" s="71" t="s">
        <v>165</v>
      </c>
      <c r="C5" s="81" t="n">
        <v>0.039</v>
      </c>
      <c r="D5" s="78" t="n">
        <v>520.5</v>
      </c>
      <c r="E5" s="79" t="n">
        <v>0</v>
      </c>
      <c r="F5" s="82" t="n">
        <v>4.313232</v>
      </c>
      <c r="G5" s="82" t="n">
        <v>43.95</v>
      </c>
      <c r="H5" s="75" t="n">
        <v>1</v>
      </c>
      <c r="I5" s="35" t="n">
        <f aca="false">RANDBETWEEN(1,40)/100</f>
        <v>0.04</v>
      </c>
      <c r="J5" s="35" t="n">
        <f aca="false">RANDBETWEEN(1,100)/100</f>
        <v>0.13</v>
      </c>
      <c r="K5" s="71" t="n">
        <v>20</v>
      </c>
      <c r="L5" s="80" t="n">
        <v>50</v>
      </c>
      <c r="M5" s="78" t="n">
        <v>1</v>
      </c>
      <c r="N5" s="78" t="n">
        <v>1</v>
      </c>
      <c r="O5" s="72" t="n">
        <v>0</v>
      </c>
      <c r="P5" s="72" t="n">
        <v>0</v>
      </c>
      <c r="Q5" s="35" t="n">
        <v>0</v>
      </c>
      <c r="R5" s="32" t="n">
        <v>999</v>
      </c>
      <c r="S5" s="37" t="n">
        <v>0</v>
      </c>
      <c r="T5" s="35" t="n">
        <v>0</v>
      </c>
      <c r="U5" s="35" t="n">
        <v>0</v>
      </c>
      <c r="V5" s="37" t="n">
        <v>0.01</v>
      </c>
      <c r="W5" s="5" t="s">
        <v>102</v>
      </c>
    </row>
    <row r="6" customFormat="false" ht="15.75" hidden="false" customHeight="false" outlineLevel="0" collapsed="false">
      <c r="B6" s="71" t="s">
        <v>166</v>
      </c>
      <c r="C6" s="77" t="n">
        <v>0.024</v>
      </c>
      <c r="D6" s="78" t="n">
        <v>78.75</v>
      </c>
      <c r="E6" s="79" t="n">
        <v>0</v>
      </c>
      <c r="F6" s="78" t="n">
        <v>3.44827586</v>
      </c>
      <c r="G6" s="78" t="n">
        <v>154.8275862</v>
      </c>
      <c r="H6" s="75" t="n">
        <v>1</v>
      </c>
      <c r="I6" s="35" t="n">
        <f aca="false">RANDBETWEEN(1,40)/100</f>
        <v>0.2</v>
      </c>
      <c r="J6" s="35" t="n">
        <f aca="false">RANDBETWEEN(1,100)/100</f>
        <v>0.42</v>
      </c>
      <c r="K6" s="71" t="n">
        <v>50</v>
      </c>
      <c r="L6" s="80" t="n">
        <v>100</v>
      </c>
      <c r="M6" s="78" t="n">
        <v>1</v>
      </c>
      <c r="N6" s="78" t="n">
        <v>0.029</v>
      </c>
      <c r="O6" s="72" t="n">
        <v>0</v>
      </c>
      <c r="P6" s="72" t="n">
        <v>0</v>
      </c>
      <c r="Q6" s="35" t="n">
        <v>0</v>
      </c>
      <c r="R6" s="32" t="n">
        <v>999</v>
      </c>
      <c r="S6" s="37" t="n">
        <v>0</v>
      </c>
      <c r="T6" s="35" t="n">
        <v>0</v>
      </c>
      <c r="U6" s="35" t="n">
        <v>0</v>
      </c>
      <c r="V6" s="33" t="n">
        <v>0.02</v>
      </c>
      <c r="W6" s="5" t="s">
        <v>102</v>
      </c>
    </row>
    <row r="7" customFormat="false" ht="15.75" hidden="false" customHeight="false" outlineLevel="0" collapsed="false">
      <c r="B7" s="71" t="s">
        <v>167</v>
      </c>
      <c r="C7" s="81" t="n">
        <v>0.035</v>
      </c>
      <c r="D7" s="78" t="n">
        <v>270</v>
      </c>
      <c r="E7" s="79" t="n">
        <v>0</v>
      </c>
      <c r="F7" s="82" t="n">
        <v>12.901248</v>
      </c>
      <c r="G7" s="82" t="n">
        <v>150</v>
      </c>
      <c r="H7" s="75" t="n">
        <v>1</v>
      </c>
      <c r="I7" s="35" t="n">
        <f aca="false">RANDBETWEEN(1,40)/100</f>
        <v>0.38</v>
      </c>
      <c r="J7" s="35" t="n">
        <f aca="false">RANDBETWEEN(1,100)/100</f>
        <v>0.21</v>
      </c>
      <c r="K7" s="71" t="n">
        <v>40</v>
      </c>
      <c r="L7" s="80" t="n">
        <v>50</v>
      </c>
      <c r="M7" s="78" t="n">
        <v>1</v>
      </c>
      <c r="N7" s="78" t="n">
        <v>1</v>
      </c>
      <c r="O7" s="72" t="n">
        <v>0</v>
      </c>
      <c r="P7" s="72" t="n">
        <v>0</v>
      </c>
      <c r="Q7" s="35" t="n">
        <v>0</v>
      </c>
      <c r="R7" s="32" t="n">
        <v>999</v>
      </c>
      <c r="S7" s="37" t="n">
        <v>0</v>
      </c>
      <c r="T7" s="35" t="n">
        <v>0</v>
      </c>
      <c r="U7" s="35" t="n">
        <v>0</v>
      </c>
      <c r="V7" s="33" t="n">
        <v>0.02</v>
      </c>
      <c r="W7" s="5" t="s">
        <v>102</v>
      </c>
    </row>
    <row r="8" customFormat="false" ht="15.75" hidden="false" customHeight="false" outlineLevel="0" collapsed="false">
      <c r="B8" s="71" t="s">
        <v>168</v>
      </c>
      <c r="C8" s="81" t="n">
        <v>0.035</v>
      </c>
      <c r="D8" s="78" t="n">
        <v>195</v>
      </c>
      <c r="E8" s="79" t="n">
        <v>0</v>
      </c>
      <c r="F8" s="78" t="n">
        <v>3.06060606</v>
      </c>
      <c r="G8" s="78" t="n">
        <v>178.1818182</v>
      </c>
      <c r="H8" s="75" t="n">
        <v>1</v>
      </c>
      <c r="I8" s="35" t="n">
        <f aca="false">RANDBETWEEN(1,40)/100</f>
        <v>0.11</v>
      </c>
      <c r="J8" s="35" t="n">
        <f aca="false">RANDBETWEEN(1,100)/100</f>
        <v>1</v>
      </c>
      <c r="K8" s="71" t="n">
        <v>125</v>
      </c>
      <c r="L8" s="80" t="n">
        <v>50</v>
      </c>
      <c r="M8" s="78" t="n">
        <v>1</v>
      </c>
      <c r="N8" s="78" t="n">
        <v>0.033</v>
      </c>
      <c r="O8" s="72" t="n">
        <v>0</v>
      </c>
      <c r="P8" s="72" t="n">
        <v>0</v>
      </c>
      <c r="Q8" s="35" t="n">
        <v>0</v>
      </c>
      <c r="R8" s="32" t="n">
        <v>999</v>
      </c>
      <c r="S8" s="37" t="n">
        <v>0</v>
      </c>
      <c r="T8" s="35" t="n">
        <v>0</v>
      </c>
      <c r="U8" s="35" t="n">
        <v>0</v>
      </c>
      <c r="V8" s="33" t="n">
        <v>0.02</v>
      </c>
      <c r="W8" s="5" t="s">
        <v>102</v>
      </c>
    </row>
    <row r="9" customFormat="false" ht="15.75" hidden="false" customHeight="false" outlineLevel="0" collapsed="false">
      <c r="B9" s="71" t="s">
        <v>169</v>
      </c>
      <c r="C9" s="77" t="n">
        <v>0.0145</v>
      </c>
      <c r="D9" s="78" t="n">
        <v>3000</v>
      </c>
      <c r="E9" s="79" t="n">
        <v>0</v>
      </c>
      <c r="F9" s="82" t="n">
        <v>93.456</v>
      </c>
      <c r="G9" s="82" t="n">
        <v>1248</v>
      </c>
      <c r="H9" s="75" t="n">
        <v>1</v>
      </c>
      <c r="I9" s="35" t="n">
        <f aca="false">RANDBETWEEN(1,40)/100</f>
        <v>0.4</v>
      </c>
      <c r="J9" s="35" t="n">
        <f aca="false">RANDBETWEEN(1,100)/100</f>
        <v>0.63</v>
      </c>
      <c r="K9" s="71" t="n">
        <v>3</v>
      </c>
      <c r="L9" s="80" t="n">
        <v>50</v>
      </c>
      <c r="M9" s="78" t="n">
        <v>1</v>
      </c>
      <c r="N9" s="78" t="n">
        <v>1</v>
      </c>
      <c r="O9" s="72" t="n">
        <v>0</v>
      </c>
      <c r="P9" s="72" t="n">
        <v>0</v>
      </c>
      <c r="Q9" s="35" t="n">
        <v>0</v>
      </c>
      <c r="R9" s="32" t="n">
        <v>999</v>
      </c>
      <c r="S9" s="37" t="n">
        <v>0</v>
      </c>
      <c r="T9" s="35" t="n">
        <v>0</v>
      </c>
      <c r="U9" s="35" t="n">
        <v>0</v>
      </c>
      <c r="V9" s="33" t="n">
        <v>0.02</v>
      </c>
      <c r="W9" s="5" t="s">
        <v>102</v>
      </c>
    </row>
    <row r="10" customFormat="false" ht="15.75" hidden="false" customHeight="false" outlineLevel="0" collapsed="false">
      <c r="B10" s="71" t="s">
        <v>170</v>
      </c>
      <c r="C10" s="83" t="n">
        <v>0.04</v>
      </c>
      <c r="D10" s="84" t="n">
        <v>75</v>
      </c>
      <c r="E10" s="79" t="n">
        <v>0</v>
      </c>
      <c r="F10" s="85" t="n">
        <v>0.60077491</v>
      </c>
      <c r="G10" s="82" t="n">
        <v>11.584</v>
      </c>
      <c r="H10" s="75" t="n">
        <v>1</v>
      </c>
      <c r="I10" s="35" t="n">
        <f aca="false">RANDBETWEEN(1,40)/100</f>
        <v>0.35</v>
      </c>
      <c r="J10" s="35" t="n">
        <f aca="false">RANDBETWEEN(1,100)/100</f>
        <v>0.05</v>
      </c>
      <c r="K10" s="71" t="n">
        <v>3</v>
      </c>
      <c r="L10" s="86" t="n">
        <v>40</v>
      </c>
      <c r="M10" s="78" t="n">
        <v>1</v>
      </c>
      <c r="N10" s="84" t="n">
        <v>1</v>
      </c>
      <c r="O10" s="72" t="n">
        <v>0</v>
      </c>
      <c r="P10" s="72" t="n">
        <v>0</v>
      </c>
      <c r="Q10" s="35" t="n">
        <v>0</v>
      </c>
      <c r="R10" s="87" t="n">
        <v>999</v>
      </c>
      <c r="S10" s="88" t="n">
        <v>0</v>
      </c>
      <c r="T10" s="35" t="n">
        <v>0</v>
      </c>
      <c r="U10" s="35" t="n">
        <v>0</v>
      </c>
      <c r="V10" s="33" t="n">
        <v>0.02</v>
      </c>
      <c r="W10" s="5" t="s">
        <v>102</v>
      </c>
    </row>
    <row r="11" customFormat="false" ht="15.75" hidden="false" customHeight="false" outlineLevel="0" collapsed="false">
      <c r="B11" s="89" t="s">
        <v>171</v>
      </c>
      <c r="C11" s="90" t="n">
        <v>0.035</v>
      </c>
      <c r="D11" s="91" t="n">
        <v>172.8214286</v>
      </c>
      <c r="E11" s="79" t="n">
        <v>0</v>
      </c>
      <c r="F11" s="92" t="n">
        <v>4.68181818</v>
      </c>
      <c r="G11" s="82" t="n">
        <v>20.09090909</v>
      </c>
      <c r="H11" s="75" t="n">
        <v>1</v>
      </c>
      <c r="I11" s="35" t="n">
        <f aca="false">RANDBETWEEN(1,40)/100</f>
        <v>0.34</v>
      </c>
      <c r="J11" s="35" t="n">
        <f aca="false">RANDBETWEEN(1,100)/100</f>
        <v>0.13</v>
      </c>
      <c r="K11" s="71" t="n">
        <v>25.5</v>
      </c>
      <c r="L11" s="93" t="n">
        <v>50</v>
      </c>
      <c r="M11" s="78" t="n">
        <v>0.28</v>
      </c>
      <c r="N11" s="94" t="n">
        <v>0.022</v>
      </c>
      <c r="O11" s="72" t="n">
        <v>0</v>
      </c>
      <c r="P11" s="72" t="n">
        <v>0</v>
      </c>
      <c r="Q11" s="35" t="n">
        <v>0</v>
      </c>
      <c r="R11" s="95" t="n">
        <v>999</v>
      </c>
      <c r="S11" s="96" t="n">
        <v>0</v>
      </c>
      <c r="T11" s="97" t="n">
        <v>0</v>
      </c>
      <c r="U11" s="97" t="n">
        <v>0</v>
      </c>
      <c r="V11" s="33" t="n">
        <v>0.02</v>
      </c>
      <c r="W11" s="5" t="s">
        <v>102</v>
      </c>
    </row>
    <row r="12" customFormat="false" ht="15.75" hidden="false" customHeight="false" outlineLevel="0" collapsed="false">
      <c r="B12" s="89" t="s">
        <v>172</v>
      </c>
      <c r="C12" s="90" t="n">
        <v>0.04</v>
      </c>
      <c r="D12" s="73" t="n">
        <v>3503.184713</v>
      </c>
      <c r="E12" s="79" t="n">
        <v>0</v>
      </c>
      <c r="F12" s="92" t="n">
        <v>18.8397</v>
      </c>
      <c r="G12" s="82" t="n">
        <v>369.29</v>
      </c>
      <c r="H12" s="75" t="n">
        <v>1</v>
      </c>
      <c r="I12" s="35" t="n">
        <f aca="false">RANDBETWEEN(1,40)/100</f>
        <v>0.15</v>
      </c>
      <c r="J12" s="35" t="n">
        <f aca="false">RANDBETWEEN(1,100)/100</f>
        <v>0.83</v>
      </c>
      <c r="K12" s="71" t="n">
        <v>26.5</v>
      </c>
      <c r="L12" s="71" t="n">
        <v>40</v>
      </c>
      <c r="M12" s="98" t="n">
        <v>0.0002826</v>
      </c>
      <c r="N12" s="99" t="n">
        <v>1</v>
      </c>
      <c r="O12" s="100" t="n">
        <v>0</v>
      </c>
      <c r="P12" s="100" t="n">
        <v>0</v>
      </c>
      <c r="Q12" s="35" t="n">
        <v>0</v>
      </c>
      <c r="R12" s="95" t="n">
        <v>999</v>
      </c>
      <c r="S12" s="96" t="n">
        <v>0</v>
      </c>
      <c r="T12" s="97" t="n">
        <v>0</v>
      </c>
      <c r="U12" s="97" t="n">
        <v>0</v>
      </c>
      <c r="V12" s="33" t="n">
        <v>0.005</v>
      </c>
      <c r="W12" s="5" t="s">
        <v>102</v>
      </c>
    </row>
    <row r="13" customFormat="false" ht="15.75" hidden="false" customHeight="false" outlineLevel="0" collapsed="false">
      <c r="B13" s="89" t="s">
        <v>173</v>
      </c>
      <c r="C13" s="90" t="n">
        <v>0.04</v>
      </c>
      <c r="D13" s="78" t="n">
        <v>3096.249115</v>
      </c>
      <c r="E13" s="79" t="n">
        <v>0</v>
      </c>
      <c r="F13" s="92" t="n">
        <v>18.8397</v>
      </c>
      <c r="G13" s="82" t="n">
        <v>370.29</v>
      </c>
      <c r="H13" s="75" t="n">
        <v>1</v>
      </c>
      <c r="I13" s="35" t="n">
        <f aca="false">RANDBETWEEN(1,40)/100</f>
        <v>0.31</v>
      </c>
      <c r="J13" s="35" t="n">
        <f aca="false">RANDBETWEEN(1,100)/100</f>
        <v>0.2</v>
      </c>
      <c r="K13" s="71" t="n">
        <v>27.5</v>
      </c>
      <c r="L13" s="101" t="n">
        <v>40</v>
      </c>
      <c r="M13" s="98" t="n">
        <v>0.0003391</v>
      </c>
      <c r="N13" s="98" t="n">
        <v>1</v>
      </c>
      <c r="O13" s="100" t="n">
        <v>0</v>
      </c>
      <c r="P13" s="100" t="n">
        <v>0</v>
      </c>
      <c r="Q13" s="35" t="n">
        <v>0</v>
      </c>
      <c r="R13" s="95" t="n">
        <v>999</v>
      </c>
      <c r="S13" s="96" t="n">
        <v>0</v>
      </c>
      <c r="T13" s="97" t="n">
        <v>0</v>
      </c>
      <c r="U13" s="97" t="n">
        <v>0</v>
      </c>
      <c r="V13" s="33" t="n">
        <v>0.005</v>
      </c>
      <c r="W13" s="5" t="s">
        <v>102</v>
      </c>
    </row>
    <row r="14" customFormat="false" ht="15.75" hidden="false" customHeight="false" outlineLevel="0" collapsed="false">
      <c r="B14" s="89" t="s">
        <v>174</v>
      </c>
      <c r="C14" s="90" t="n">
        <v>0.04</v>
      </c>
      <c r="D14" s="78" t="n">
        <v>2878.037273</v>
      </c>
      <c r="E14" s="79" t="n">
        <v>0</v>
      </c>
      <c r="F14" s="92" t="n">
        <v>18.8397</v>
      </c>
      <c r="G14" s="82" t="n">
        <v>371.29</v>
      </c>
      <c r="H14" s="75" t="n">
        <v>1</v>
      </c>
      <c r="I14" s="35" t="n">
        <f aca="false">RANDBETWEEN(1,40)/100</f>
        <v>0.22</v>
      </c>
      <c r="J14" s="35" t="n">
        <f aca="false">RANDBETWEEN(1,100)/100</f>
        <v>0.9</v>
      </c>
      <c r="K14" s="71" t="n">
        <v>28.5</v>
      </c>
      <c r="L14" s="101" t="n">
        <v>40</v>
      </c>
      <c r="M14" s="98" t="n">
        <v>0.0004239</v>
      </c>
      <c r="N14" s="98" t="n">
        <v>1</v>
      </c>
      <c r="O14" s="100" t="n">
        <v>0</v>
      </c>
      <c r="P14" s="100" t="n">
        <v>0</v>
      </c>
      <c r="Q14" s="35" t="n">
        <v>0</v>
      </c>
      <c r="R14" s="95" t="n">
        <v>999</v>
      </c>
      <c r="S14" s="96" t="n">
        <v>0</v>
      </c>
      <c r="T14" s="97" t="n">
        <v>0</v>
      </c>
      <c r="U14" s="97" t="n">
        <v>0</v>
      </c>
      <c r="V14" s="33" t="n">
        <v>0.005</v>
      </c>
      <c r="W14" s="5" t="s">
        <v>102</v>
      </c>
    </row>
    <row r="15" customFormat="false" ht="15.75" hidden="false" customHeight="false" outlineLevel="0" collapsed="false">
      <c r="B15" s="89" t="s">
        <v>175</v>
      </c>
      <c r="C15" s="90" t="n">
        <v>0.04</v>
      </c>
      <c r="D15" s="78" t="n">
        <v>3028.037383</v>
      </c>
      <c r="E15" s="79" t="n">
        <v>0</v>
      </c>
      <c r="F15" s="92" t="n">
        <v>18.8397</v>
      </c>
      <c r="G15" s="82" t="n">
        <v>386.29</v>
      </c>
      <c r="H15" s="75" t="n">
        <v>1</v>
      </c>
      <c r="I15" s="35" t="n">
        <f aca="false">RANDBETWEEN(1,40)/100</f>
        <v>0.26</v>
      </c>
      <c r="J15" s="35" t="n">
        <f aca="false">RANDBETWEEN(1,100)/100</f>
        <v>0.28</v>
      </c>
      <c r="K15" s="71" t="n">
        <v>43.5</v>
      </c>
      <c r="L15" s="101" t="n">
        <v>40</v>
      </c>
      <c r="M15" s="98" t="n">
        <v>0.00107</v>
      </c>
      <c r="N15" s="98" t="n">
        <v>1</v>
      </c>
      <c r="O15" s="100" t="n">
        <v>0</v>
      </c>
      <c r="P15" s="100" t="n">
        <v>0</v>
      </c>
      <c r="Q15" s="35" t="n">
        <v>0</v>
      </c>
      <c r="R15" s="95" t="n">
        <v>999</v>
      </c>
      <c r="S15" s="96" t="n">
        <v>0</v>
      </c>
      <c r="T15" s="97" t="n">
        <v>0</v>
      </c>
      <c r="U15" s="97" t="n">
        <v>0</v>
      </c>
      <c r="V15" s="33" t="n">
        <v>0.005</v>
      </c>
      <c r="W15" s="5" t="s">
        <v>102</v>
      </c>
    </row>
    <row r="16" customFormat="false" ht="15.75" hidden="false" customHeight="false" outlineLevel="0" collapsed="false">
      <c r="B16" s="89" t="s">
        <v>176</v>
      </c>
      <c r="C16" s="90" t="n">
        <v>0.04</v>
      </c>
      <c r="D16" s="78" t="n">
        <v>2535.975466</v>
      </c>
      <c r="E16" s="79" t="n">
        <v>0</v>
      </c>
      <c r="F16" s="92" t="n">
        <v>18.8397</v>
      </c>
      <c r="G16" s="82" t="n">
        <v>372.29</v>
      </c>
      <c r="H16" s="75" t="n">
        <v>1</v>
      </c>
      <c r="I16" s="35" t="n">
        <f aca="false">RANDBETWEEN(1,40)/100</f>
        <v>0.34</v>
      </c>
      <c r="J16" s="35" t="n">
        <f aca="false">RANDBETWEEN(1,100)/100</f>
        <v>0.67</v>
      </c>
      <c r="K16" s="71" t="n">
        <v>29.5</v>
      </c>
      <c r="L16" s="101" t="n">
        <v>40</v>
      </c>
      <c r="M16" s="98" t="n">
        <v>0.0005087</v>
      </c>
      <c r="N16" s="98" t="n">
        <v>1</v>
      </c>
      <c r="O16" s="100" t="n">
        <v>0</v>
      </c>
      <c r="P16" s="100" t="n">
        <v>0</v>
      </c>
      <c r="Q16" s="35" t="n">
        <v>0</v>
      </c>
      <c r="R16" s="95" t="n">
        <v>999</v>
      </c>
      <c r="S16" s="96" t="n">
        <v>0</v>
      </c>
      <c r="T16" s="97" t="n">
        <v>0</v>
      </c>
      <c r="U16" s="97" t="n">
        <v>0</v>
      </c>
      <c r="V16" s="33" t="n">
        <v>0.005</v>
      </c>
      <c r="W16" s="5" t="s">
        <v>102</v>
      </c>
    </row>
    <row r="17" customFormat="false" ht="15.75" hidden="false" customHeight="false" outlineLevel="0" collapsed="false">
      <c r="B17" s="89" t="s">
        <v>177</v>
      </c>
      <c r="C17" s="90" t="n">
        <v>0.04</v>
      </c>
      <c r="D17" s="78" t="n">
        <v>2123.142251</v>
      </c>
      <c r="E17" s="79" t="n">
        <v>0</v>
      </c>
      <c r="F17" s="92" t="n">
        <v>18.8397</v>
      </c>
      <c r="G17" s="82" t="n">
        <v>373.29</v>
      </c>
      <c r="H17" s="75" t="n">
        <v>1</v>
      </c>
      <c r="I17" s="35" t="n">
        <f aca="false">RANDBETWEEN(1,40)/100</f>
        <v>0.22</v>
      </c>
      <c r="J17" s="35" t="n">
        <f aca="false">RANDBETWEEN(1,100)/100</f>
        <v>0.09</v>
      </c>
      <c r="K17" s="71" t="n">
        <v>30.5</v>
      </c>
      <c r="L17" s="101" t="n">
        <v>40</v>
      </c>
      <c r="M17" s="98" t="n">
        <v>0.0006217</v>
      </c>
      <c r="N17" s="98" t="n">
        <v>1</v>
      </c>
      <c r="O17" s="100" t="n">
        <v>0</v>
      </c>
      <c r="P17" s="100" t="n">
        <v>0</v>
      </c>
      <c r="Q17" s="35" t="n">
        <v>0</v>
      </c>
      <c r="R17" s="95" t="n">
        <v>999</v>
      </c>
      <c r="S17" s="96" t="n">
        <v>0</v>
      </c>
      <c r="T17" s="97" t="n">
        <v>0</v>
      </c>
      <c r="U17" s="97" t="n">
        <v>0</v>
      </c>
      <c r="V17" s="33" t="n">
        <v>0.005</v>
      </c>
      <c r="W17" s="5" t="s">
        <v>102</v>
      </c>
    </row>
    <row r="18" customFormat="false" ht="15.75" hidden="false" customHeight="false" outlineLevel="0" collapsed="false">
      <c r="B18" s="89" t="s">
        <v>178</v>
      </c>
      <c r="C18" s="90" t="n">
        <v>0.04</v>
      </c>
      <c r="D18" s="78" t="n">
        <v>2059.953493</v>
      </c>
      <c r="E18" s="79" t="n">
        <v>0</v>
      </c>
      <c r="F18" s="92" t="n">
        <v>18.8397</v>
      </c>
      <c r="G18" s="82" t="n">
        <v>374.29</v>
      </c>
      <c r="H18" s="75" t="n">
        <v>1</v>
      </c>
      <c r="I18" s="35" t="n">
        <f aca="false">RANDBETWEEN(1,40)/100</f>
        <v>0.1</v>
      </c>
      <c r="J18" s="35" t="n">
        <f aca="false">RANDBETWEEN(1,100)/100</f>
        <v>0.26</v>
      </c>
      <c r="K18" s="71" t="n">
        <v>31.5</v>
      </c>
      <c r="L18" s="101" t="n">
        <v>40</v>
      </c>
      <c r="M18" s="98" t="n">
        <v>0.0007913</v>
      </c>
      <c r="N18" s="98" t="n">
        <v>1</v>
      </c>
      <c r="O18" s="100" t="n">
        <v>0</v>
      </c>
      <c r="P18" s="100" t="n">
        <v>0</v>
      </c>
      <c r="Q18" s="35" t="n">
        <v>0</v>
      </c>
      <c r="R18" s="95" t="n">
        <v>999</v>
      </c>
      <c r="S18" s="96" t="n">
        <v>0</v>
      </c>
      <c r="T18" s="97" t="n">
        <v>0</v>
      </c>
      <c r="U18" s="97" t="n">
        <v>0</v>
      </c>
      <c r="V18" s="33" t="n">
        <v>0.005</v>
      </c>
      <c r="W18" s="5" t="s">
        <v>102</v>
      </c>
    </row>
    <row r="19" customFormat="false" ht="15.75" hidden="false" customHeight="false" outlineLevel="0" collapsed="false">
      <c r="B19" s="89" t="s">
        <v>179</v>
      </c>
      <c r="C19" s="90" t="n">
        <v>0.04</v>
      </c>
      <c r="D19" s="78" t="n">
        <v>1870.387221</v>
      </c>
      <c r="E19" s="79" t="n">
        <v>0</v>
      </c>
      <c r="F19" s="92" t="n">
        <v>18.8397</v>
      </c>
      <c r="G19" s="82" t="n">
        <v>375.29</v>
      </c>
      <c r="H19" s="75" t="n">
        <v>1</v>
      </c>
      <c r="I19" s="35" t="n">
        <f aca="false">RANDBETWEEN(1,40)/100</f>
        <v>0.38</v>
      </c>
      <c r="J19" s="35" t="n">
        <f aca="false">RANDBETWEEN(1,100)/100</f>
        <v>0.23</v>
      </c>
      <c r="K19" s="71" t="n">
        <v>32.5</v>
      </c>
      <c r="L19" s="101" t="n">
        <v>40</v>
      </c>
      <c r="M19" s="98" t="n">
        <v>0.0009891</v>
      </c>
      <c r="N19" s="98" t="n">
        <v>1</v>
      </c>
      <c r="O19" s="100" t="n">
        <v>0</v>
      </c>
      <c r="P19" s="100" t="n">
        <v>0</v>
      </c>
      <c r="Q19" s="35" t="n">
        <v>0</v>
      </c>
      <c r="R19" s="95" t="n">
        <v>999</v>
      </c>
      <c r="S19" s="96" t="n">
        <v>0</v>
      </c>
      <c r="T19" s="97" t="n">
        <v>0</v>
      </c>
      <c r="U19" s="97" t="n">
        <v>0</v>
      </c>
      <c r="V19" s="33" t="n">
        <v>0.005</v>
      </c>
      <c r="W19" s="5" t="s">
        <v>102</v>
      </c>
    </row>
    <row r="20" customFormat="false" ht="15.75" hidden="false" customHeight="false" outlineLevel="0" collapsed="false">
      <c r="B20" s="89" t="s">
        <v>180</v>
      </c>
      <c r="C20" s="90" t="n">
        <v>0.04</v>
      </c>
      <c r="D20" s="78" t="n">
        <v>0.060454545</v>
      </c>
      <c r="E20" s="79" t="n">
        <v>0</v>
      </c>
      <c r="F20" s="92" t="n">
        <v>18.8397</v>
      </c>
      <c r="G20" s="82" t="n">
        <v>376.29</v>
      </c>
      <c r="H20" s="75" t="n">
        <v>1</v>
      </c>
      <c r="I20" s="35" t="n">
        <f aca="false">RANDBETWEEN(1,40)/100</f>
        <v>0.04</v>
      </c>
      <c r="J20" s="35" t="n">
        <f aca="false">RANDBETWEEN(1,100)/100</f>
        <v>0.65</v>
      </c>
      <c r="K20" s="71" t="n">
        <v>33.5</v>
      </c>
      <c r="L20" s="101" t="n">
        <v>40</v>
      </c>
      <c r="M20" s="98" t="n">
        <v>0.0004082</v>
      </c>
      <c r="N20" s="98" t="n">
        <v>1</v>
      </c>
      <c r="O20" s="100" t="n">
        <v>0</v>
      </c>
      <c r="P20" s="100" t="n">
        <v>0</v>
      </c>
      <c r="Q20" s="35" t="n">
        <v>0</v>
      </c>
      <c r="R20" s="95" t="n">
        <v>999</v>
      </c>
      <c r="S20" s="96" t="n">
        <v>0</v>
      </c>
      <c r="T20" s="97" t="n">
        <v>0</v>
      </c>
      <c r="U20" s="97" t="n">
        <v>0</v>
      </c>
      <c r="V20" s="33" t="n">
        <v>0.005</v>
      </c>
      <c r="W20" s="5" t="s">
        <v>102</v>
      </c>
    </row>
    <row r="21" customFormat="false" ht="15.75" hidden="false" customHeight="false" outlineLevel="0" collapsed="false">
      <c r="B21" s="89" t="s">
        <v>181</v>
      </c>
      <c r="C21" s="90" t="n">
        <v>0.04</v>
      </c>
      <c r="D21" s="78" t="n">
        <v>2939.735424</v>
      </c>
      <c r="E21" s="79" t="n">
        <v>0</v>
      </c>
      <c r="F21" s="92" t="n">
        <v>18.8397</v>
      </c>
      <c r="G21" s="82" t="n">
        <v>377.29</v>
      </c>
      <c r="H21" s="75" t="n">
        <v>1</v>
      </c>
      <c r="I21" s="35" t="n">
        <f aca="false">RANDBETWEEN(1,40)/100</f>
        <v>0.37</v>
      </c>
      <c r="J21" s="35" t="n">
        <f aca="false">RANDBETWEEN(1,100)/100</f>
        <v>0.43</v>
      </c>
      <c r="K21" s="71" t="n">
        <v>34.5</v>
      </c>
      <c r="L21" s="101" t="n">
        <v>40</v>
      </c>
      <c r="M21" s="98" t="n">
        <v>0.0004898</v>
      </c>
      <c r="N21" s="98" t="n">
        <v>1</v>
      </c>
      <c r="O21" s="100" t="n">
        <v>0</v>
      </c>
      <c r="P21" s="100" t="n">
        <v>0</v>
      </c>
      <c r="Q21" s="35" t="n">
        <v>0</v>
      </c>
      <c r="R21" s="95" t="n">
        <v>999</v>
      </c>
      <c r="S21" s="96" t="n">
        <v>0</v>
      </c>
      <c r="T21" s="97" t="n">
        <v>0</v>
      </c>
      <c r="U21" s="97" t="n">
        <v>0</v>
      </c>
      <c r="V21" s="33" t="n">
        <v>0.005</v>
      </c>
      <c r="W21" s="5" t="s">
        <v>102</v>
      </c>
    </row>
    <row r="22" customFormat="false" ht="15.75" hidden="false" customHeight="false" outlineLevel="0" collapsed="false">
      <c r="B22" s="89" t="s">
        <v>182</v>
      </c>
      <c r="C22" s="90" t="n">
        <v>0.04</v>
      </c>
      <c r="D22" s="78" t="n">
        <v>2596.766291</v>
      </c>
      <c r="E22" s="79" t="n">
        <v>0</v>
      </c>
      <c r="F22" s="92" t="n">
        <v>18.8397</v>
      </c>
      <c r="G22" s="82" t="n">
        <v>378.29</v>
      </c>
      <c r="H22" s="75" t="n">
        <v>1</v>
      </c>
      <c r="I22" s="35" t="n">
        <f aca="false">RANDBETWEEN(1,40)/100</f>
        <v>0.36</v>
      </c>
      <c r="J22" s="35" t="n">
        <f aca="false">RANDBETWEEN(1,100)/100</f>
        <v>0.15</v>
      </c>
      <c r="K22" s="71" t="n">
        <v>35.5</v>
      </c>
      <c r="L22" s="101" t="n">
        <v>40</v>
      </c>
      <c r="M22" s="98" t="n">
        <v>0.0006123</v>
      </c>
      <c r="N22" s="98" t="n">
        <v>1</v>
      </c>
      <c r="O22" s="100" t="n">
        <v>0</v>
      </c>
      <c r="P22" s="100" t="n">
        <v>0</v>
      </c>
      <c r="Q22" s="35" t="n">
        <v>0</v>
      </c>
      <c r="R22" s="95" t="n">
        <v>999</v>
      </c>
      <c r="S22" s="96" t="n">
        <v>0</v>
      </c>
      <c r="T22" s="97" t="n">
        <v>0</v>
      </c>
      <c r="U22" s="97" t="n">
        <v>0</v>
      </c>
      <c r="V22" s="33" t="n">
        <v>0.005</v>
      </c>
      <c r="W22" s="5" t="s">
        <v>102</v>
      </c>
    </row>
    <row r="23" customFormat="false" ht="15.75" hidden="false" customHeight="false" outlineLevel="0" collapsed="false">
      <c r="B23" s="89" t="s">
        <v>183</v>
      </c>
      <c r="C23" s="90" t="n">
        <v>0.04</v>
      </c>
      <c r="D23" s="78" t="n">
        <v>2259.241113</v>
      </c>
      <c r="E23" s="79" t="n">
        <v>0</v>
      </c>
      <c r="F23" s="92" t="n">
        <v>18.8397</v>
      </c>
      <c r="G23" s="82" t="n">
        <v>379.29</v>
      </c>
      <c r="H23" s="75" t="n">
        <v>1</v>
      </c>
      <c r="I23" s="35" t="n">
        <f aca="false">RANDBETWEEN(1,40)/100</f>
        <v>0.16</v>
      </c>
      <c r="J23" s="35" t="n">
        <f aca="false">RANDBETWEEN(1,100)/100</f>
        <v>0.08</v>
      </c>
      <c r="K23" s="71" t="n">
        <v>36.5</v>
      </c>
      <c r="L23" s="101" t="n">
        <v>40</v>
      </c>
      <c r="M23" s="98" t="n">
        <v>0.0007348</v>
      </c>
      <c r="N23" s="98" t="n">
        <v>1</v>
      </c>
      <c r="O23" s="100" t="n">
        <v>0</v>
      </c>
      <c r="P23" s="100" t="n">
        <v>0</v>
      </c>
      <c r="Q23" s="35" t="n">
        <v>0</v>
      </c>
      <c r="R23" s="95" t="n">
        <v>999</v>
      </c>
      <c r="S23" s="96" t="n">
        <v>0</v>
      </c>
      <c r="T23" s="97" t="n">
        <v>0</v>
      </c>
      <c r="U23" s="97" t="n">
        <v>0</v>
      </c>
      <c r="V23" s="33" t="n">
        <v>0.005</v>
      </c>
      <c r="W23" s="5" t="s">
        <v>102</v>
      </c>
    </row>
    <row r="24" customFormat="false" ht="15.75" hidden="false" customHeight="false" outlineLevel="0" collapsed="false">
      <c r="B24" s="89" t="s">
        <v>184</v>
      </c>
      <c r="C24" s="90" t="n">
        <v>0.04</v>
      </c>
      <c r="D24" s="78" t="n">
        <v>1937.552893</v>
      </c>
      <c r="E24" s="79" t="n">
        <v>0</v>
      </c>
      <c r="F24" s="92" t="n">
        <v>18.8397</v>
      </c>
      <c r="G24" s="82" t="n">
        <v>380.29</v>
      </c>
      <c r="H24" s="75" t="n">
        <v>1</v>
      </c>
      <c r="I24" s="35" t="n">
        <f aca="false">RANDBETWEEN(1,40)/100</f>
        <v>0.08</v>
      </c>
      <c r="J24" s="35" t="n">
        <f aca="false">RANDBETWEEN(1,100)/100</f>
        <v>0.93</v>
      </c>
      <c r="K24" s="71" t="n">
        <v>37.5</v>
      </c>
      <c r="L24" s="101" t="n">
        <v>40</v>
      </c>
      <c r="M24" s="98" t="n">
        <v>0.000898</v>
      </c>
      <c r="N24" s="98" t="n">
        <v>1</v>
      </c>
      <c r="O24" s="100" t="n">
        <v>0</v>
      </c>
      <c r="P24" s="100" t="n">
        <v>0</v>
      </c>
      <c r="Q24" s="35" t="n">
        <v>0</v>
      </c>
      <c r="R24" s="95" t="n">
        <v>999</v>
      </c>
      <c r="S24" s="96" t="n">
        <v>0</v>
      </c>
      <c r="T24" s="97" t="n">
        <v>0</v>
      </c>
      <c r="U24" s="97" t="n">
        <v>0</v>
      </c>
      <c r="V24" s="33" t="n">
        <v>0.005</v>
      </c>
      <c r="W24" s="5" t="s">
        <v>102</v>
      </c>
    </row>
    <row r="25" customFormat="false" ht="15.75" hidden="false" customHeight="false" outlineLevel="0" collapsed="false">
      <c r="B25" s="89" t="s">
        <v>185</v>
      </c>
      <c r="C25" s="90" t="n">
        <v>0.04</v>
      </c>
      <c r="D25" s="78" t="n">
        <v>1793.588577</v>
      </c>
      <c r="E25" s="79" t="n">
        <v>0</v>
      </c>
      <c r="F25" s="92" t="n">
        <v>18.8397</v>
      </c>
      <c r="G25" s="82" t="n">
        <v>381.29</v>
      </c>
      <c r="H25" s="75" t="n">
        <v>1</v>
      </c>
      <c r="I25" s="35" t="n">
        <f aca="false">RANDBETWEEN(1,40)/100</f>
        <v>0.34</v>
      </c>
      <c r="J25" s="35" t="n">
        <f aca="false">RANDBETWEEN(1,100)/100</f>
        <v>0.02</v>
      </c>
      <c r="K25" s="71" t="n">
        <v>38.5</v>
      </c>
      <c r="L25" s="101" t="n">
        <v>40</v>
      </c>
      <c r="M25" s="98" t="n">
        <v>0.001143</v>
      </c>
      <c r="N25" s="98" t="n">
        <v>1</v>
      </c>
      <c r="O25" s="100" t="n">
        <v>0</v>
      </c>
      <c r="P25" s="100" t="n">
        <v>0</v>
      </c>
      <c r="Q25" s="35" t="n">
        <v>0</v>
      </c>
      <c r="R25" s="95" t="n">
        <v>999</v>
      </c>
      <c r="S25" s="96" t="n">
        <v>0</v>
      </c>
      <c r="T25" s="97" t="n">
        <v>0</v>
      </c>
      <c r="U25" s="97" t="n">
        <v>0</v>
      </c>
      <c r="V25" s="33" t="n">
        <v>0.005</v>
      </c>
      <c r="W25" s="5" t="s">
        <v>102</v>
      </c>
    </row>
    <row r="26" customFormat="false" ht="15.75" hidden="false" customHeight="false" outlineLevel="0" collapsed="false">
      <c r="B26" s="89" t="s">
        <v>186</v>
      </c>
      <c r="C26" s="90" t="n">
        <v>0.04</v>
      </c>
      <c r="D26" s="78" t="n">
        <v>1721.845034</v>
      </c>
      <c r="E26" s="79" t="n">
        <v>0</v>
      </c>
      <c r="F26" s="92" t="n">
        <v>18.8397</v>
      </c>
      <c r="G26" s="82" t="n">
        <v>382.29</v>
      </c>
      <c r="H26" s="75" t="n">
        <v>1</v>
      </c>
      <c r="I26" s="35" t="n">
        <f aca="false">RANDBETWEEN(1,40)/100</f>
        <v>0.16</v>
      </c>
      <c r="J26" s="35" t="n">
        <f aca="false">RANDBETWEEN(1,100)/100</f>
        <v>0.38</v>
      </c>
      <c r="K26" s="71" t="n">
        <v>39.5</v>
      </c>
      <c r="L26" s="101" t="n">
        <v>40</v>
      </c>
      <c r="M26" s="98" t="n">
        <v>0.0014287</v>
      </c>
      <c r="N26" s="98" t="n">
        <v>1</v>
      </c>
      <c r="O26" s="100" t="n">
        <v>0</v>
      </c>
      <c r="P26" s="100" t="n">
        <v>0</v>
      </c>
      <c r="Q26" s="35" t="n">
        <v>0</v>
      </c>
      <c r="R26" s="95" t="n">
        <v>999</v>
      </c>
      <c r="S26" s="96" t="n">
        <v>0</v>
      </c>
      <c r="T26" s="97" t="n">
        <v>0</v>
      </c>
      <c r="U26" s="97" t="n">
        <v>0</v>
      </c>
      <c r="V26" s="33" t="n">
        <v>0.005</v>
      </c>
      <c r="W26" s="5" t="s">
        <v>102</v>
      </c>
    </row>
    <row r="27" customFormat="false" ht="15.75" hidden="false" customHeight="false" outlineLevel="0" collapsed="false">
      <c r="B27" s="89" t="s">
        <v>187</v>
      </c>
      <c r="C27" s="90" t="n">
        <v>0.04</v>
      </c>
      <c r="D27" s="78" t="n">
        <v>4207.173986</v>
      </c>
      <c r="E27" s="79" t="n">
        <v>0</v>
      </c>
      <c r="F27" s="92" t="n">
        <v>18.8397</v>
      </c>
      <c r="G27" s="82" t="n">
        <v>383.29</v>
      </c>
      <c r="H27" s="75" t="n">
        <v>1</v>
      </c>
      <c r="I27" s="35" t="n">
        <f aca="false">RANDBETWEEN(1,40)/100</f>
        <v>0.02</v>
      </c>
      <c r="J27" s="35" t="n">
        <f aca="false">RANDBETWEEN(1,100)/100</f>
        <v>0.74</v>
      </c>
      <c r="K27" s="71" t="n">
        <v>40.5</v>
      </c>
      <c r="L27" s="101" t="n">
        <v>40</v>
      </c>
      <c r="M27" s="98" t="n">
        <v>0.0005966</v>
      </c>
      <c r="N27" s="98" t="n">
        <v>1</v>
      </c>
      <c r="O27" s="100" t="n">
        <v>0</v>
      </c>
      <c r="P27" s="100" t="n">
        <v>0</v>
      </c>
      <c r="Q27" s="35" t="n">
        <v>0</v>
      </c>
      <c r="R27" s="95" t="n">
        <v>999</v>
      </c>
      <c r="S27" s="96" t="n">
        <v>0</v>
      </c>
      <c r="T27" s="97" t="n">
        <v>0</v>
      </c>
      <c r="U27" s="97" t="n">
        <v>0</v>
      </c>
      <c r="V27" s="33" t="n">
        <v>0.005</v>
      </c>
      <c r="W27" s="5" t="s">
        <v>102</v>
      </c>
    </row>
    <row r="28" customFormat="false" ht="15.75" hidden="false" customHeight="false" outlineLevel="0" collapsed="false">
      <c r="B28" s="89" t="s">
        <v>188</v>
      </c>
      <c r="C28" s="90" t="n">
        <v>0.04</v>
      </c>
      <c r="D28" s="78" t="n">
        <v>3631.690692</v>
      </c>
      <c r="E28" s="79" t="n">
        <v>0</v>
      </c>
      <c r="F28" s="92" t="n">
        <v>18.8397</v>
      </c>
      <c r="G28" s="82" t="n">
        <v>384.29</v>
      </c>
      <c r="H28" s="75" t="n">
        <v>1</v>
      </c>
      <c r="I28" s="35" t="n">
        <f aca="false">RANDBETWEEN(1,40)/100</f>
        <v>0.12</v>
      </c>
      <c r="J28" s="35" t="n">
        <f aca="false">RANDBETWEEN(1,100)/100</f>
        <v>0.36</v>
      </c>
      <c r="K28" s="71" t="n">
        <v>41.5</v>
      </c>
      <c r="L28" s="101" t="n">
        <v>40</v>
      </c>
      <c r="M28" s="98" t="n">
        <v>0.0007159</v>
      </c>
      <c r="N28" s="98" t="n">
        <v>1</v>
      </c>
      <c r="O28" s="100" t="n">
        <v>0</v>
      </c>
      <c r="P28" s="100" t="n">
        <v>0</v>
      </c>
      <c r="Q28" s="35" t="n">
        <v>0</v>
      </c>
      <c r="R28" s="95" t="n">
        <v>999</v>
      </c>
      <c r="S28" s="96" t="n">
        <v>0</v>
      </c>
      <c r="T28" s="97" t="n">
        <v>0</v>
      </c>
      <c r="U28" s="97" t="n">
        <v>0</v>
      </c>
      <c r="V28" s="33" t="n">
        <v>0.005</v>
      </c>
      <c r="W28" s="5" t="s">
        <v>102</v>
      </c>
    </row>
    <row r="29" customFormat="false" ht="15.75" hidden="false" customHeight="false" outlineLevel="0" collapsed="false">
      <c r="B29" s="89" t="s">
        <v>189</v>
      </c>
      <c r="C29" s="90" t="n">
        <v>0.04</v>
      </c>
      <c r="D29" s="78" t="n">
        <v>3497.597497</v>
      </c>
      <c r="E29" s="79" t="n">
        <v>0</v>
      </c>
      <c r="F29" s="92" t="n">
        <v>18.8397</v>
      </c>
      <c r="G29" s="82" t="n">
        <v>385.29</v>
      </c>
      <c r="H29" s="75" t="n">
        <v>1</v>
      </c>
      <c r="I29" s="35" t="n">
        <f aca="false">RANDBETWEEN(1,40)/100</f>
        <v>0.22</v>
      </c>
      <c r="J29" s="35" t="n">
        <f aca="false">RANDBETWEEN(1,100)/100</f>
        <v>0.7</v>
      </c>
      <c r="K29" s="71" t="n">
        <v>42.5</v>
      </c>
      <c r="L29" s="101" t="n">
        <v>40</v>
      </c>
      <c r="M29" s="98" t="n">
        <v>0.0008949</v>
      </c>
      <c r="N29" s="98" t="n">
        <v>1</v>
      </c>
      <c r="O29" s="100" t="n">
        <v>0</v>
      </c>
      <c r="P29" s="100" t="n">
        <v>0</v>
      </c>
      <c r="Q29" s="35" t="n">
        <v>0</v>
      </c>
      <c r="R29" s="95" t="n">
        <v>999</v>
      </c>
      <c r="S29" s="96" t="n">
        <v>0</v>
      </c>
      <c r="T29" s="97" t="n">
        <v>0</v>
      </c>
      <c r="U29" s="97" t="n">
        <v>0</v>
      </c>
      <c r="V29" s="33" t="n">
        <v>0.005</v>
      </c>
      <c r="W29" s="5" t="s">
        <v>102</v>
      </c>
    </row>
    <row r="30" customFormat="false" ht="15.75" hidden="false" customHeight="false" outlineLevel="0" collapsed="false">
      <c r="B30" s="89" t="s">
        <v>190</v>
      </c>
      <c r="C30" s="90" t="n">
        <v>0.04</v>
      </c>
      <c r="D30" s="78" t="n">
        <v>2879.956115</v>
      </c>
      <c r="E30" s="79" t="n">
        <v>0</v>
      </c>
      <c r="F30" s="92" t="n">
        <v>18.8397</v>
      </c>
      <c r="G30" s="82" t="n">
        <v>387.29</v>
      </c>
      <c r="H30" s="75" t="n">
        <v>1</v>
      </c>
      <c r="I30" s="35" t="n">
        <f aca="false">RANDBETWEEN(1,40)/100</f>
        <v>0.11</v>
      </c>
      <c r="J30" s="35" t="n">
        <f aca="false">RANDBETWEEN(1,100)/100</f>
        <v>0.92</v>
      </c>
      <c r="K30" s="71" t="n">
        <v>44.5</v>
      </c>
      <c r="L30" s="101" t="n">
        <v>40</v>
      </c>
      <c r="M30" s="98" t="n">
        <v>0.0013125</v>
      </c>
      <c r="N30" s="98" t="n">
        <v>1</v>
      </c>
      <c r="O30" s="100" t="n">
        <v>0</v>
      </c>
      <c r="P30" s="100" t="n">
        <v>0</v>
      </c>
      <c r="Q30" s="35" t="n">
        <v>0</v>
      </c>
      <c r="R30" s="95" t="n">
        <v>999</v>
      </c>
      <c r="S30" s="96" t="n">
        <v>0</v>
      </c>
      <c r="T30" s="97" t="n">
        <v>0</v>
      </c>
      <c r="U30" s="97" t="n">
        <v>0</v>
      </c>
      <c r="V30" s="33" t="n">
        <v>0.005</v>
      </c>
      <c r="W30" s="5" t="s">
        <v>102</v>
      </c>
    </row>
    <row r="31" customFormat="false" ht="15.75" hidden="false" customHeight="false" outlineLevel="0" collapsed="false">
      <c r="B31" s="89" t="s">
        <v>191</v>
      </c>
      <c r="C31" s="90" t="n">
        <v>0.04</v>
      </c>
      <c r="D31" s="78" t="n">
        <v>1275.082611</v>
      </c>
      <c r="E31" s="79" t="n">
        <v>0</v>
      </c>
      <c r="F31" s="92" t="n">
        <v>18.8397</v>
      </c>
      <c r="G31" s="82" t="n">
        <v>388.29</v>
      </c>
      <c r="H31" s="75" t="n">
        <v>1</v>
      </c>
      <c r="I31" s="35" t="n">
        <f aca="false">RANDBETWEEN(1,40)/100</f>
        <v>0.3</v>
      </c>
      <c r="J31" s="35" t="n">
        <f aca="false">RANDBETWEEN(1,100)/100</f>
        <v>0.84</v>
      </c>
      <c r="K31" s="71" t="n">
        <v>45.5</v>
      </c>
      <c r="L31" s="101" t="n">
        <v>40</v>
      </c>
      <c r="M31" s="98" t="n">
        <v>0.0016705</v>
      </c>
      <c r="N31" s="98" t="n">
        <v>1</v>
      </c>
      <c r="O31" s="100" t="n">
        <v>0</v>
      </c>
      <c r="P31" s="100" t="n">
        <v>0</v>
      </c>
      <c r="Q31" s="35" t="n">
        <v>0</v>
      </c>
      <c r="R31" s="95" t="n">
        <v>999</v>
      </c>
      <c r="S31" s="96" t="n">
        <v>0</v>
      </c>
      <c r="T31" s="97" t="n">
        <v>0</v>
      </c>
      <c r="U31" s="97" t="n">
        <v>0</v>
      </c>
      <c r="V31" s="33" t="n">
        <v>0.005</v>
      </c>
      <c r="W31" s="5" t="s">
        <v>102</v>
      </c>
    </row>
    <row r="32" customFormat="false" ht="15.75" hidden="false" customHeight="false" outlineLevel="0" collapsed="false">
      <c r="B32" s="89" t="s">
        <v>192</v>
      </c>
      <c r="C32" s="90" t="n">
        <v>0.04</v>
      </c>
      <c r="D32" s="78" t="n">
        <v>2384.94325</v>
      </c>
      <c r="E32" s="79" t="n">
        <v>0</v>
      </c>
      <c r="F32" s="92" t="n">
        <v>18.8397</v>
      </c>
      <c r="G32" s="82" t="n">
        <v>389.29</v>
      </c>
      <c r="H32" s="75" t="n">
        <v>1</v>
      </c>
      <c r="I32" s="35" t="n">
        <f aca="false">RANDBETWEEN(1,40)/100</f>
        <v>0.06</v>
      </c>
      <c r="J32" s="35" t="n">
        <f aca="false">RANDBETWEEN(1,100)/100</f>
        <v>0.5</v>
      </c>
      <c r="K32" s="71" t="n">
        <v>46.5</v>
      </c>
      <c r="L32" s="101" t="n">
        <v>40</v>
      </c>
      <c r="M32" s="98" t="n">
        <v>0.0020881</v>
      </c>
      <c r="N32" s="98" t="n">
        <v>1</v>
      </c>
      <c r="O32" s="100" t="n">
        <v>0</v>
      </c>
      <c r="P32" s="100" t="n">
        <v>0</v>
      </c>
      <c r="Q32" s="35" t="n">
        <v>0</v>
      </c>
      <c r="R32" s="95" t="n">
        <v>999</v>
      </c>
      <c r="S32" s="96" t="n">
        <v>0</v>
      </c>
      <c r="T32" s="97" t="n">
        <v>0</v>
      </c>
      <c r="U32" s="97" t="n">
        <v>0</v>
      </c>
      <c r="V32" s="33" t="n">
        <v>0.005</v>
      </c>
      <c r="W32" s="5" t="s">
        <v>102</v>
      </c>
    </row>
    <row r="33" customFormat="false" ht="15.75" hidden="false" customHeight="false" outlineLevel="0" collapsed="false">
      <c r="B33" s="89" t="s">
        <v>193</v>
      </c>
      <c r="C33" s="90" t="n">
        <v>0.04</v>
      </c>
      <c r="D33" s="78" t="n">
        <v>4093.804285</v>
      </c>
      <c r="E33" s="79" t="n">
        <v>0</v>
      </c>
      <c r="F33" s="92" t="n">
        <v>18.8397</v>
      </c>
      <c r="G33" s="82" t="n">
        <v>390.29</v>
      </c>
      <c r="H33" s="75" t="n">
        <v>1</v>
      </c>
      <c r="I33" s="35" t="n">
        <f aca="false">RANDBETWEEN(1,40)/100</f>
        <v>0.2</v>
      </c>
      <c r="J33" s="35" t="n">
        <f aca="false">RANDBETWEEN(1,100)/100</f>
        <v>0.6</v>
      </c>
      <c r="K33" s="71" t="n">
        <v>47.5</v>
      </c>
      <c r="L33" s="101" t="n">
        <v>40</v>
      </c>
      <c r="M33" s="98" t="n">
        <v>0.001727</v>
      </c>
      <c r="N33" s="98" t="n">
        <v>1</v>
      </c>
      <c r="O33" s="100" t="n">
        <v>0</v>
      </c>
      <c r="P33" s="100" t="n">
        <v>0</v>
      </c>
      <c r="Q33" s="35" t="n">
        <v>0</v>
      </c>
      <c r="R33" s="95" t="n">
        <v>999</v>
      </c>
      <c r="S33" s="96" t="n">
        <v>0</v>
      </c>
      <c r="T33" s="97" t="n">
        <v>0</v>
      </c>
      <c r="U33" s="97" t="n">
        <v>0</v>
      </c>
      <c r="V33" s="33" t="n">
        <v>0.005</v>
      </c>
      <c r="W33" s="5" t="s">
        <v>102</v>
      </c>
    </row>
    <row r="34" customFormat="false" ht="15.75" hidden="false" customHeight="false" outlineLevel="0" collapsed="false">
      <c r="B34" s="89" t="s">
        <v>194</v>
      </c>
      <c r="C34" s="90" t="n">
        <v>0.04</v>
      </c>
      <c r="D34" s="78" t="n">
        <v>3371.246588</v>
      </c>
      <c r="E34" s="79" t="n">
        <v>0</v>
      </c>
      <c r="F34" s="92" t="n">
        <v>18.8397</v>
      </c>
      <c r="G34" s="82" t="n">
        <v>391.29</v>
      </c>
      <c r="H34" s="75" t="n">
        <v>1</v>
      </c>
      <c r="I34" s="35" t="n">
        <f aca="false">RANDBETWEEN(1,40)/100</f>
        <v>0.17</v>
      </c>
      <c r="J34" s="35" t="n">
        <f aca="false">RANDBETWEEN(1,100)/100</f>
        <v>0.04</v>
      </c>
      <c r="K34" s="71" t="n">
        <v>48.5</v>
      </c>
      <c r="L34" s="101" t="n">
        <v>40</v>
      </c>
      <c r="M34" s="98" t="n">
        <v>0.002198</v>
      </c>
      <c r="N34" s="98" t="n">
        <v>1</v>
      </c>
      <c r="O34" s="100" t="n">
        <v>0</v>
      </c>
      <c r="P34" s="100" t="n">
        <v>0</v>
      </c>
      <c r="Q34" s="35" t="n">
        <v>0</v>
      </c>
      <c r="R34" s="95" t="n">
        <v>999</v>
      </c>
      <c r="S34" s="96" t="n">
        <v>0</v>
      </c>
      <c r="T34" s="97" t="n">
        <v>0</v>
      </c>
      <c r="U34" s="97" t="n">
        <v>0</v>
      </c>
      <c r="V34" s="33" t="n">
        <v>0.005</v>
      </c>
      <c r="W34" s="5" t="s">
        <v>102</v>
      </c>
    </row>
    <row r="35" customFormat="false" ht="15.75" hidden="false" customHeight="false" outlineLevel="0" collapsed="false">
      <c r="B35" s="89" t="s">
        <v>195</v>
      </c>
      <c r="C35" s="90" t="n">
        <v>0.04</v>
      </c>
      <c r="D35" s="78" t="n">
        <v>3017.288444</v>
      </c>
      <c r="E35" s="79" t="n">
        <v>0</v>
      </c>
      <c r="F35" s="92" t="n">
        <v>18.8397</v>
      </c>
      <c r="G35" s="82" t="n">
        <v>392.29</v>
      </c>
      <c r="H35" s="75" t="n">
        <v>1</v>
      </c>
      <c r="I35" s="35" t="n">
        <f aca="false">RANDBETWEEN(1,40)/100</f>
        <v>0.04</v>
      </c>
      <c r="J35" s="35" t="n">
        <f aca="false">RANDBETWEEN(1,100)/100</f>
        <v>0.66</v>
      </c>
      <c r="K35" s="71" t="n">
        <v>49.5</v>
      </c>
      <c r="L35" s="101" t="n">
        <v>40</v>
      </c>
      <c r="M35" s="98" t="n">
        <v>0.0027475</v>
      </c>
      <c r="N35" s="98" t="n">
        <v>1</v>
      </c>
      <c r="O35" s="100" t="n">
        <v>0</v>
      </c>
      <c r="P35" s="100" t="n">
        <v>0</v>
      </c>
      <c r="Q35" s="35" t="n">
        <v>0</v>
      </c>
      <c r="R35" s="95" t="n">
        <v>999</v>
      </c>
      <c r="S35" s="96" t="n">
        <v>0</v>
      </c>
      <c r="T35" s="97" t="n">
        <v>0</v>
      </c>
      <c r="U35" s="97" t="n">
        <v>0</v>
      </c>
      <c r="V35" s="33" t="n">
        <v>0.005</v>
      </c>
      <c r="W35" s="5" t="s">
        <v>102</v>
      </c>
    </row>
    <row r="36" customFormat="false" ht="15.75" hidden="false" customHeight="false" outlineLevel="0" collapsed="false">
      <c r="B36" s="89" t="s">
        <v>196</v>
      </c>
      <c r="C36" s="90" t="n">
        <v>0.04</v>
      </c>
      <c r="D36" s="78" t="n">
        <v>3971.844239</v>
      </c>
      <c r="E36" s="79" t="n">
        <v>0</v>
      </c>
      <c r="F36" s="92" t="n">
        <v>18.8397</v>
      </c>
      <c r="G36" s="82" t="n">
        <v>393.29</v>
      </c>
      <c r="H36" s="75" t="n">
        <v>1</v>
      </c>
      <c r="I36" s="35" t="n">
        <f aca="false">RANDBETWEEN(1,40)/100</f>
        <v>0.1</v>
      </c>
      <c r="J36" s="35" t="n">
        <f aca="false">RANDBETWEEN(1,100)/100</f>
        <v>0.26</v>
      </c>
      <c r="K36" s="71" t="n">
        <v>50.5</v>
      </c>
      <c r="L36" s="101" t="n">
        <v>40</v>
      </c>
      <c r="M36" s="98" t="n">
        <v>0.0022106</v>
      </c>
      <c r="N36" s="98" t="n">
        <v>1</v>
      </c>
      <c r="O36" s="100" t="n">
        <v>0</v>
      </c>
      <c r="P36" s="100" t="n">
        <v>0</v>
      </c>
      <c r="Q36" s="35" t="n">
        <v>0</v>
      </c>
      <c r="R36" s="95" t="n">
        <v>999</v>
      </c>
      <c r="S36" s="96" t="n">
        <v>0</v>
      </c>
      <c r="T36" s="97" t="n">
        <v>0</v>
      </c>
      <c r="U36" s="97" t="n">
        <v>0</v>
      </c>
      <c r="V36" s="33" t="n">
        <v>0.005</v>
      </c>
      <c r="W36" s="5" t="s">
        <v>102</v>
      </c>
    </row>
    <row r="37" customFormat="false" ht="15.75" hidden="false" customHeight="false" outlineLevel="0" collapsed="false">
      <c r="B37" s="89" t="s">
        <v>197</v>
      </c>
      <c r="C37" s="90" t="n">
        <v>0.04</v>
      </c>
      <c r="D37" s="78" t="n">
        <v>3390.866697</v>
      </c>
      <c r="E37" s="79" t="n">
        <v>0</v>
      </c>
      <c r="F37" s="92" t="n">
        <v>18.8397</v>
      </c>
      <c r="G37" s="82" t="n">
        <v>394.29</v>
      </c>
      <c r="H37" s="75" t="n">
        <v>1</v>
      </c>
      <c r="I37" s="35" t="n">
        <f aca="false">RANDBETWEEN(1,40)/100</f>
        <v>0.06</v>
      </c>
      <c r="J37" s="35" t="n">
        <f aca="false">RANDBETWEEN(1,100)/100</f>
        <v>0.31</v>
      </c>
      <c r="K37" s="71" t="n">
        <v>51.5</v>
      </c>
      <c r="L37" s="101" t="n">
        <v>40</v>
      </c>
      <c r="M37" s="98" t="n">
        <v>0.0028134</v>
      </c>
      <c r="N37" s="98" t="n">
        <v>1</v>
      </c>
      <c r="O37" s="100" t="n">
        <v>0</v>
      </c>
      <c r="P37" s="100" t="n">
        <v>0</v>
      </c>
      <c r="Q37" s="35" t="n">
        <v>0</v>
      </c>
      <c r="R37" s="95" t="n">
        <v>999</v>
      </c>
      <c r="S37" s="96" t="n">
        <v>0</v>
      </c>
      <c r="T37" s="97" t="n">
        <v>0</v>
      </c>
      <c r="U37" s="97" t="n">
        <v>0</v>
      </c>
      <c r="V37" s="33" t="n">
        <v>0.005</v>
      </c>
      <c r="W37" s="5" t="s">
        <v>102</v>
      </c>
    </row>
    <row r="38" customFormat="false" ht="15.75" hidden="false" customHeight="false" outlineLevel="0" collapsed="false">
      <c r="B38" s="89" t="s">
        <v>198</v>
      </c>
      <c r="C38" s="90" t="n">
        <v>0.04</v>
      </c>
      <c r="D38" s="78" t="n">
        <v>2979.981802</v>
      </c>
      <c r="E38" s="79" t="n">
        <v>0</v>
      </c>
      <c r="F38" s="92" t="n">
        <v>18.8397</v>
      </c>
      <c r="G38" s="82" t="n">
        <v>395.29</v>
      </c>
      <c r="H38" s="75" t="n">
        <v>1</v>
      </c>
      <c r="I38" s="35" t="n">
        <f aca="false">RANDBETWEEN(1,40)/100</f>
        <v>0.18</v>
      </c>
      <c r="J38" s="35" t="n">
        <f aca="false">RANDBETWEEN(1,100)/100</f>
        <v>0.87</v>
      </c>
      <c r="K38" s="71" t="n">
        <v>52.5</v>
      </c>
      <c r="L38" s="101" t="n">
        <v>40</v>
      </c>
      <c r="M38" s="98" t="n">
        <v>0.0035168</v>
      </c>
      <c r="N38" s="98" t="n">
        <v>1</v>
      </c>
      <c r="O38" s="100" t="n">
        <v>0</v>
      </c>
      <c r="P38" s="100" t="n">
        <v>0</v>
      </c>
      <c r="Q38" s="35" t="n">
        <v>0</v>
      </c>
      <c r="R38" s="95" t="n">
        <v>999</v>
      </c>
      <c r="S38" s="96" t="n">
        <v>0</v>
      </c>
      <c r="T38" s="97" t="n">
        <v>0</v>
      </c>
      <c r="U38" s="97" t="n">
        <v>0</v>
      </c>
      <c r="V38" s="33" t="n">
        <v>0.005</v>
      </c>
      <c r="W38" s="5" t="s">
        <v>102</v>
      </c>
    </row>
    <row r="39" customFormat="false" ht="15.75" hidden="false" customHeight="false" outlineLevel="0" collapsed="false">
      <c r="B39" s="89" t="s">
        <v>199</v>
      </c>
      <c r="C39" s="90" t="n">
        <v>0.04</v>
      </c>
      <c r="D39" s="78" t="n">
        <v>1215.75</v>
      </c>
      <c r="E39" s="79" t="n">
        <v>0</v>
      </c>
      <c r="F39" s="92" t="n">
        <v>31.82616</v>
      </c>
      <c r="G39" s="82" t="n">
        <v>635.65</v>
      </c>
      <c r="H39" s="75" t="n">
        <v>2</v>
      </c>
      <c r="I39" s="35" t="n">
        <f aca="false">RANDBETWEEN(1,40)/100</f>
        <v>0.22</v>
      </c>
      <c r="J39" s="35" t="n">
        <f aca="false">RANDBETWEEN(1,100)/100</f>
        <v>0.32</v>
      </c>
      <c r="K39" s="71" t="n">
        <v>52.5</v>
      </c>
      <c r="L39" s="101" t="n">
        <v>40</v>
      </c>
      <c r="M39" s="98" t="n">
        <v>0.02</v>
      </c>
      <c r="N39" s="98" t="n">
        <v>1</v>
      </c>
      <c r="O39" s="100" t="n">
        <v>0</v>
      </c>
      <c r="P39" s="100" t="n">
        <v>0</v>
      </c>
      <c r="Q39" s="35" t="n">
        <v>0</v>
      </c>
      <c r="R39" s="95" t="n">
        <v>999</v>
      </c>
      <c r="S39" s="96" t="n">
        <v>0</v>
      </c>
      <c r="T39" s="97" t="n">
        <v>0</v>
      </c>
      <c r="U39" s="97" t="n">
        <v>0</v>
      </c>
      <c r="V39" s="33" t="n">
        <v>0.005</v>
      </c>
      <c r="W39" s="5" t="s">
        <v>102</v>
      </c>
    </row>
    <row r="40" customFormat="false" ht="15.75" hidden="false" customHeight="false" outlineLevel="0" collapsed="false">
      <c r="B40" s="89" t="s">
        <v>200</v>
      </c>
      <c r="C40" s="90" t="n">
        <v>0.04</v>
      </c>
      <c r="D40" s="78" t="n">
        <v>1045.2</v>
      </c>
      <c r="E40" s="79" t="n">
        <v>0</v>
      </c>
      <c r="F40" s="92" t="n">
        <v>31.82616</v>
      </c>
      <c r="G40" s="82" t="n">
        <v>636.65</v>
      </c>
      <c r="H40" s="75" t="n">
        <v>3</v>
      </c>
      <c r="I40" s="35" t="n">
        <f aca="false">RANDBETWEEN(1,40)/100</f>
        <v>0.15</v>
      </c>
      <c r="J40" s="35" t="n">
        <f aca="false">RANDBETWEEN(1,100)/100</f>
        <v>0.29</v>
      </c>
      <c r="K40" s="71" t="n">
        <v>52.5</v>
      </c>
      <c r="L40" s="101" t="n">
        <v>40</v>
      </c>
      <c r="M40" s="98" t="n">
        <v>0.025</v>
      </c>
      <c r="N40" s="98" t="n">
        <v>1</v>
      </c>
      <c r="O40" s="100" t="n">
        <v>0</v>
      </c>
      <c r="P40" s="100" t="n">
        <v>0</v>
      </c>
      <c r="Q40" s="35" t="n">
        <v>0</v>
      </c>
      <c r="R40" s="95" t="n">
        <v>999</v>
      </c>
      <c r="S40" s="96" t="n">
        <v>0</v>
      </c>
      <c r="T40" s="97" t="n">
        <v>0</v>
      </c>
      <c r="U40" s="97" t="n">
        <v>0</v>
      </c>
      <c r="V40" s="33" t="n">
        <v>0.005</v>
      </c>
      <c r="W40" s="5" t="s">
        <v>102</v>
      </c>
    </row>
    <row r="41" customFormat="false" ht="15.75" hidden="false" customHeight="false" outlineLevel="0" collapsed="false">
      <c r="B41" s="89" t="s">
        <v>201</v>
      </c>
      <c r="C41" s="90" t="n">
        <v>0.04</v>
      </c>
      <c r="D41" s="78" t="n">
        <v>913.5</v>
      </c>
      <c r="E41" s="79" t="n">
        <v>0</v>
      </c>
      <c r="F41" s="92" t="n">
        <v>31.82616</v>
      </c>
      <c r="G41" s="82" t="n">
        <v>637.65</v>
      </c>
      <c r="H41" s="75" t="n">
        <v>4</v>
      </c>
      <c r="I41" s="35" t="n">
        <f aca="false">RANDBETWEEN(1,40)/100</f>
        <v>0.33</v>
      </c>
      <c r="J41" s="35" t="n">
        <f aca="false">RANDBETWEEN(1,100)/100</f>
        <v>0.38</v>
      </c>
      <c r="K41" s="71" t="n">
        <v>52.5</v>
      </c>
      <c r="L41" s="101" t="n">
        <v>40</v>
      </c>
      <c r="M41" s="98" t="n">
        <v>0.03</v>
      </c>
      <c r="N41" s="98" t="n">
        <v>1</v>
      </c>
      <c r="O41" s="100" t="n">
        <v>0</v>
      </c>
      <c r="P41" s="100" t="n">
        <v>0</v>
      </c>
      <c r="Q41" s="35" t="n">
        <v>0</v>
      </c>
      <c r="R41" s="95" t="n">
        <v>999</v>
      </c>
      <c r="S41" s="96" t="n">
        <v>0</v>
      </c>
      <c r="T41" s="97" t="n">
        <v>0</v>
      </c>
      <c r="U41" s="97" t="n">
        <v>0</v>
      </c>
      <c r="V41" s="33" t="n">
        <v>0.005</v>
      </c>
      <c r="W41" s="5" t="s">
        <v>102</v>
      </c>
    </row>
    <row r="42" customFormat="false" ht="15.75" hidden="false" customHeight="false" outlineLevel="0" collapsed="false">
      <c r="B42" s="89" t="s">
        <v>202</v>
      </c>
      <c r="C42" s="90" t="n">
        <v>0.04</v>
      </c>
      <c r="D42" s="78" t="n">
        <v>788.25</v>
      </c>
      <c r="E42" s="79" t="n">
        <v>0</v>
      </c>
      <c r="F42" s="92" t="n">
        <v>31.82616</v>
      </c>
      <c r="G42" s="82" t="n">
        <v>638.65</v>
      </c>
      <c r="H42" s="75" t="n">
        <v>5</v>
      </c>
      <c r="I42" s="35" t="n">
        <f aca="false">RANDBETWEEN(1,40)/100</f>
        <v>0.23</v>
      </c>
      <c r="J42" s="35" t="n">
        <f aca="false">RANDBETWEEN(1,100)/100</f>
        <v>0.66</v>
      </c>
      <c r="K42" s="71" t="n">
        <v>52.5</v>
      </c>
      <c r="L42" s="101" t="n">
        <v>40</v>
      </c>
      <c r="M42" s="98" t="n">
        <v>0.04</v>
      </c>
      <c r="N42" s="98" t="n">
        <v>1</v>
      </c>
      <c r="O42" s="100" t="n">
        <v>0</v>
      </c>
      <c r="P42" s="100" t="n">
        <v>0</v>
      </c>
      <c r="Q42" s="35" t="n">
        <v>0</v>
      </c>
      <c r="R42" s="95" t="n">
        <v>999</v>
      </c>
      <c r="S42" s="96" t="n">
        <v>0</v>
      </c>
      <c r="T42" s="97" t="n">
        <v>0</v>
      </c>
      <c r="U42" s="97" t="n">
        <v>0</v>
      </c>
      <c r="V42" s="33" t="n">
        <v>0.005</v>
      </c>
      <c r="W42" s="5" t="s">
        <v>102</v>
      </c>
    </row>
    <row r="43" customFormat="false" ht="15.75" hidden="false" customHeight="false" outlineLevel="0" collapsed="false">
      <c r="B43" s="89" t="s">
        <v>203</v>
      </c>
      <c r="C43" s="90" t="n">
        <v>0.04</v>
      </c>
      <c r="D43" s="78" t="n">
        <v>739.5652174</v>
      </c>
      <c r="E43" s="79" t="n">
        <v>0</v>
      </c>
      <c r="F43" s="92" t="n">
        <v>31.82616</v>
      </c>
      <c r="G43" s="82" t="n">
        <v>639.65</v>
      </c>
      <c r="H43" s="75" t="n">
        <v>6</v>
      </c>
      <c r="I43" s="35" t="n">
        <f aca="false">RANDBETWEEN(1,40)/100</f>
        <v>0.22</v>
      </c>
      <c r="J43" s="35" t="n">
        <f aca="false">RANDBETWEEN(1,100)/100</f>
        <v>0.6</v>
      </c>
      <c r="K43" s="71" t="n">
        <v>52.5</v>
      </c>
      <c r="L43" s="101" t="n">
        <v>40</v>
      </c>
      <c r="M43" s="98" t="n">
        <v>0.046</v>
      </c>
      <c r="N43" s="98" t="n">
        <v>1</v>
      </c>
      <c r="O43" s="100" t="n">
        <v>0</v>
      </c>
      <c r="P43" s="100" t="n">
        <v>0</v>
      </c>
      <c r="Q43" s="35" t="n">
        <v>0</v>
      </c>
      <c r="R43" s="95" t="n">
        <v>999</v>
      </c>
      <c r="S43" s="96" t="n">
        <v>0</v>
      </c>
      <c r="T43" s="97" t="n">
        <v>0</v>
      </c>
      <c r="U43" s="97" t="n">
        <v>0</v>
      </c>
      <c r="V43" s="33" t="n">
        <v>0.005</v>
      </c>
      <c r="W43" s="5" t="s">
        <v>102</v>
      </c>
    </row>
    <row r="44" customFormat="false" ht="15.75" hidden="false" customHeight="false" outlineLevel="0" collapsed="false">
      <c r="B44" s="89" t="s">
        <v>204</v>
      </c>
      <c r="C44" s="90" t="n">
        <v>0.04</v>
      </c>
      <c r="D44" s="78" t="n">
        <v>71340</v>
      </c>
      <c r="E44" s="79" t="n">
        <v>0</v>
      </c>
      <c r="F44" s="92" t="n">
        <v>31.82616</v>
      </c>
      <c r="G44" s="82" t="n">
        <v>640.65</v>
      </c>
      <c r="H44" s="75" t="n">
        <v>7</v>
      </c>
      <c r="I44" s="35" t="n">
        <f aca="false">RANDBETWEEN(1,40)/100</f>
        <v>0.33</v>
      </c>
      <c r="J44" s="35" t="n">
        <f aca="false">RANDBETWEEN(1,100)/100</f>
        <v>0.22</v>
      </c>
      <c r="K44" s="71" t="n">
        <v>52.5</v>
      </c>
      <c r="L44" s="101" t="n">
        <v>40</v>
      </c>
      <c r="M44" s="98" t="n">
        <v>0.05</v>
      </c>
      <c r="N44" s="98" t="n">
        <v>1</v>
      </c>
      <c r="O44" s="100" t="n">
        <v>0</v>
      </c>
      <c r="P44" s="100" t="n">
        <v>0</v>
      </c>
      <c r="Q44" s="35" t="n">
        <v>0</v>
      </c>
      <c r="R44" s="95" t="n">
        <v>999</v>
      </c>
      <c r="S44" s="96" t="n">
        <v>0</v>
      </c>
      <c r="T44" s="97" t="n">
        <v>0</v>
      </c>
      <c r="U44" s="97" t="n">
        <v>0</v>
      </c>
      <c r="V44" s="33" t="n">
        <v>0.005</v>
      </c>
      <c r="W44" s="5" t="s">
        <v>102</v>
      </c>
    </row>
    <row r="45" customFormat="false" ht="15.75" hidden="false" customHeight="false" outlineLevel="0" collapsed="false">
      <c r="B45" s="89" t="s">
        <v>205</v>
      </c>
      <c r="C45" s="90" t="n">
        <v>0.04</v>
      </c>
      <c r="D45" s="78" t="n">
        <v>702.1153846</v>
      </c>
      <c r="E45" s="79" t="n">
        <v>0</v>
      </c>
      <c r="F45" s="92" t="n">
        <v>31.82616</v>
      </c>
      <c r="G45" s="82" t="n">
        <v>641.65</v>
      </c>
      <c r="H45" s="75" t="n">
        <v>8</v>
      </c>
      <c r="I45" s="35" t="n">
        <f aca="false">RANDBETWEEN(1,40)/100</f>
        <v>0.09</v>
      </c>
      <c r="J45" s="35" t="n">
        <f aca="false">RANDBETWEEN(1,100)/100</f>
        <v>0.51</v>
      </c>
      <c r="K45" s="71" t="n">
        <v>52.5</v>
      </c>
      <c r="L45" s="101" t="n">
        <v>40</v>
      </c>
      <c r="M45" s="98" t="n">
        <v>0.052</v>
      </c>
      <c r="N45" s="98" t="n">
        <v>1</v>
      </c>
      <c r="O45" s="100" t="n">
        <v>0</v>
      </c>
      <c r="P45" s="100" t="n">
        <v>0</v>
      </c>
      <c r="Q45" s="35" t="n">
        <v>0</v>
      </c>
      <c r="R45" s="95" t="n">
        <v>999</v>
      </c>
      <c r="S45" s="96" t="n">
        <v>0</v>
      </c>
      <c r="T45" s="97" t="n">
        <v>0</v>
      </c>
      <c r="U45" s="97" t="n">
        <v>0</v>
      </c>
      <c r="V45" s="33" t="n">
        <v>0.005</v>
      </c>
      <c r="W45" s="5" t="s">
        <v>102</v>
      </c>
    </row>
    <row r="46" customFormat="false" ht="15.75" hidden="false" customHeight="false" outlineLevel="0" collapsed="false">
      <c r="B46" s="89" t="s">
        <v>206</v>
      </c>
      <c r="C46" s="90" t="n">
        <v>0.04</v>
      </c>
      <c r="D46" s="78" t="n">
        <v>655.4032258</v>
      </c>
      <c r="E46" s="79" t="n">
        <v>0</v>
      </c>
      <c r="F46" s="92" t="n">
        <v>31.82616</v>
      </c>
      <c r="G46" s="82" t="n">
        <v>642.65</v>
      </c>
      <c r="H46" s="75" t="n">
        <v>9</v>
      </c>
      <c r="I46" s="35" t="n">
        <f aca="false">RANDBETWEEN(1,40)/100</f>
        <v>0.2</v>
      </c>
      <c r="J46" s="35" t="n">
        <f aca="false">RANDBETWEEN(1,100)/100</f>
        <v>0.87</v>
      </c>
      <c r="K46" s="71" t="n">
        <v>52.5</v>
      </c>
      <c r="L46" s="101" t="n">
        <v>40</v>
      </c>
      <c r="M46" s="98" t="n">
        <v>0.062</v>
      </c>
      <c r="N46" s="98" t="n">
        <v>1</v>
      </c>
      <c r="O46" s="100" t="n">
        <v>0</v>
      </c>
      <c r="P46" s="100" t="n">
        <v>0</v>
      </c>
      <c r="Q46" s="35" t="n">
        <v>0</v>
      </c>
      <c r="R46" s="95" t="n">
        <v>999</v>
      </c>
      <c r="S46" s="96" t="n">
        <v>0</v>
      </c>
      <c r="T46" s="97" t="n">
        <v>0</v>
      </c>
      <c r="U46" s="97" t="n">
        <v>0</v>
      </c>
      <c r="V46" s="33" t="n">
        <v>0.005</v>
      </c>
      <c r="W46" s="5" t="s">
        <v>102</v>
      </c>
    </row>
    <row r="47" customFormat="false" ht="15.75" hidden="false" customHeight="false" outlineLevel="0" collapsed="false">
      <c r="B47" s="89" t="s">
        <v>207</v>
      </c>
      <c r="C47" s="90" t="n">
        <v>0.04</v>
      </c>
      <c r="D47" s="78" t="n">
        <v>601.3125</v>
      </c>
      <c r="E47" s="79" t="n">
        <v>0</v>
      </c>
      <c r="F47" s="92" t="n">
        <v>31.82616</v>
      </c>
      <c r="G47" s="82" t="n">
        <v>643.65</v>
      </c>
      <c r="H47" s="75" t="n">
        <v>10</v>
      </c>
      <c r="I47" s="35" t="n">
        <f aca="false">RANDBETWEEN(1,40)/100</f>
        <v>0.1</v>
      </c>
      <c r="J47" s="35" t="n">
        <f aca="false">RANDBETWEEN(1,100)/100</f>
        <v>0.32</v>
      </c>
      <c r="K47" s="71" t="n">
        <v>52.5</v>
      </c>
      <c r="L47" s="101" t="n">
        <v>40</v>
      </c>
      <c r="M47" s="98" t="n">
        <v>0.08</v>
      </c>
      <c r="N47" s="98" t="n">
        <v>1</v>
      </c>
      <c r="O47" s="100" t="n">
        <v>0</v>
      </c>
      <c r="P47" s="100" t="n">
        <v>0</v>
      </c>
      <c r="Q47" s="35" t="n">
        <v>0</v>
      </c>
      <c r="R47" s="95" t="n">
        <v>999</v>
      </c>
      <c r="S47" s="96" t="n">
        <v>0</v>
      </c>
      <c r="T47" s="97" t="n">
        <v>0</v>
      </c>
      <c r="U47" s="97" t="n">
        <v>0</v>
      </c>
      <c r="V47" s="33" t="n">
        <v>0.005</v>
      </c>
      <c r="W47" s="5" t="s">
        <v>102</v>
      </c>
    </row>
    <row r="48" customFormat="false" ht="15.75" hidden="false" customHeight="false" outlineLevel="0" collapsed="false">
      <c r="B48" s="89" t="s">
        <v>208</v>
      </c>
      <c r="C48" s="90" t="n">
        <v>0.04</v>
      </c>
      <c r="D48" s="78" t="n">
        <v>323.75</v>
      </c>
      <c r="E48" s="79" t="n">
        <v>0</v>
      </c>
      <c r="F48" s="92" t="n">
        <v>18.8397</v>
      </c>
      <c r="G48" s="82" t="n">
        <v>369.29</v>
      </c>
      <c r="H48" s="75" t="n">
        <v>1</v>
      </c>
      <c r="I48" s="35" t="n">
        <f aca="false">RANDBETWEEN(1,40)/100</f>
        <v>0.27</v>
      </c>
      <c r="J48" s="35" t="n">
        <f aca="false">RANDBETWEEN(1,100)/100</f>
        <v>0.95</v>
      </c>
      <c r="K48" s="71" t="n">
        <v>3</v>
      </c>
      <c r="L48" s="86" t="n">
        <v>40</v>
      </c>
      <c r="M48" s="78" t="n">
        <v>0.06</v>
      </c>
      <c r="N48" s="102" t="n">
        <v>1</v>
      </c>
      <c r="O48" s="72" t="n">
        <v>0</v>
      </c>
      <c r="P48" s="72" t="n">
        <v>0</v>
      </c>
      <c r="Q48" s="35" t="n">
        <v>0</v>
      </c>
      <c r="R48" s="87" t="n">
        <v>999</v>
      </c>
      <c r="S48" s="88" t="n">
        <v>0</v>
      </c>
      <c r="T48" s="35" t="n">
        <v>0</v>
      </c>
      <c r="U48" s="35" t="n">
        <v>0</v>
      </c>
      <c r="V48" s="33" t="n">
        <v>0.02</v>
      </c>
      <c r="W48" s="5" t="s">
        <v>102</v>
      </c>
    </row>
    <row r="49" customFormat="false" ht="15.75" hidden="false" customHeight="false" outlineLevel="0" collapsed="false">
      <c r="B49" s="89" t="s">
        <v>209</v>
      </c>
      <c r="C49" s="90" t="n">
        <v>0.04</v>
      </c>
      <c r="D49" s="78" t="n">
        <v>257.4</v>
      </c>
      <c r="E49" s="79" t="n">
        <v>0</v>
      </c>
      <c r="F49" s="92" t="n">
        <v>18.8397</v>
      </c>
      <c r="G49" s="82" t="n">
        <v>369.29</v>
      </c>
      <c r="H49" s="75" t="n">
        <v>1</v>
      </c>
      <c r="I49" s="35" t="n">
        <f aca="false">RANDBETWEEN(1,40)/100</f>
        <v>0.32</v>
      </c>
      <c r="J49" s="35" t="n">
        <f aca="false">RANDBETWEEN(1,100)/100</f>
        <v>0.36</v>
      </c>
      <c r="K49" s="71" t="n">
        <v>3</v>
      </c>
      <c r="L49" s="93" t="n">
        <v>40</v>
      </c>
      <c r="M49" s="78" t="n">
        <v>0.1</v>
      </c>
      <c r="N49" s="103" t="n">
        <v>1</v>
      </c>
      <c r="O49" s="72" t="n">
        <v>0</v>
      </c>
      <c r="P49" s="72" t="n">
        <v>0</v>
      </c>
      <c r="Q49" s="35" t="n">
        <v>0</v>
      </c>
      <c r="R49" s="87" t="n">
        <v>999</v>
      </c>
      <c r="S49" s="88" t="n">
        <v>0</v>
      </c>
      <c r="T49" s="35" t="n">
        <v>0</v>
      </c>
      <c r="U49" s="35" t="n">
        <v>0</v>
      </c>
      <c r="V49" s="33" t="n">
        <v>0.02</v>
      </c>
      <c r="W49" s="5" t="s">
        <v>102</v>
      </c>
    </row>
    <row r="50" customFormat="false" ht="15.75" hidden="false" customHeight="false" outlineLevel="0" collapsed="false">
      <c r="B50" s="89" t="s">
        <v>210</v>
      </c>
      <c r="C50" s="90" t="n">
        <v>0.04</v>
      </c>
      <c r="D50" s="78" t="n">
        <v>233.0769231</v>
      </c>
      <c r="E50" s="79" t="n">
        <v>0</v>
      </c>
      <c r="F50" s="92" t="n">
        <v>18.8397</v>
      </c>
      <c r="G50" s="82" t="n">
        <v>369.29</v>
      </c>
      <c r="H50" s="75" t="n">
        <v>1</v>
      </c>
      <c r="I50" s="35" t="n">
        <f aca="false">RANDBETWEEN(1,40)/100</f>
        <v>0.06</v>
      </c>
      <c r="J50" s="35" t="n">
        <f aca="false">RANDBETWEEN(1,100)/100</f>
        <v>0.66</v>
      </c>
      <c r="K50" s="71" t="n">
        <v>3</v>
      </c>
      <c r="L50" s="93" t="n">
        <v>40</v>
      </c>
      <c r="M50" s="78" t="n">
        <v>0.13</v>
      </c>
      <c r="N50" s="103" t="n">
        <v>1</v>
      </c>
      <c r="O50" s="72" t="n">
        <v>0</v>
      </c>
      <c r="P50" s="72" t="n">
        <v>0</v>
      </c>
      <c r="Q50" s="35" t="n">
        <v>0</v>
      </c>
      <c r="R50" s="87" t="n">
        <v>999</v>
      </c>
      <c r="S50" s="88" t="n">
        <v>0</v>
      </c>
      <c r="T50" s="35" t="n">
        <v>0</v>
      </c>
      <c r="U50" s="35" t="n">
        <v>0</v>
      </c>
      <c r="V50" s="33" t="n">
        <v>0.02</v>
      </c>
      <c r="W50" s="5" t="s">
        <v>102</v>
      </c>
    </row>
    <row r="51" customFormat="false" ht="15.75" hidden="false" customHeight="false" outlineLevel="0" collapsed="false">
      <c r="B51" s="89" t="s">
        <v>211</v>
      </c>
      <c r="C51" s="90" t="n">
        <v>0.04</v>
      </c>
      <c r="D51" s="78" t="n">
        <v>212.8421053</v>
      </c>
      <c r="E51" s="79" t="n">
        <v>0</v>
      </c>
      <c r="F51" s="92" t="n">
        <v>18.8397</v>
      </c>
      <c r="G51" s="82" t="n">
        <v>369.29</v>
      </c>
      <c r="H51" s="75" t="n">
        <v>1</v>
      </c>
      <c r="I51" s="35" t="n">
        <f aca="false">RANDBETWEEN(1,40)/100</f>
        <v>0.23</v>
      </c>
      <c r="J51" s="35" t="n">
        <f aca="false">RANDBETWEEN(1,100)/100</f>
        <v>0.58</v>
      </c>
      <c r="K51" s="71" t="n">
        <v>3</v>
      </c>
      <c r="L51" s="93" t="n">
        <v>40</v>
      </c>
      <c r="M51" s="78" t="n">
        <v>0.19</v>
      </c>
      <c r="N51" s="103" t="n">
        <v>1</v>
      </c>
      <c r="O51" s="72" t="n">
        <v>0</v>
      </c>
      <c r="P51" s="72" t="n">
        <v>0</v>
      </c>
      <c r="Q51" s="35" t="n">
        <v>0</v>
      </c>
      <c r="R51" s="87" t="n">
        <v>999</v>
      </c>
      <c r="S51" s="88" t="n">
        <v>0</v>
      </c>
      <c r="T51" s="35" t="n">
        <v>0</v>
      </c>
      <c r="U51" s="35" t="n">
        <v>0</v>
      </c>
      <c r="V51" s="33" t="n">
        <v>0.02</v>
      </c>
      <c r="W51" s="5" t="s">
        <v>102</v>
      </c>
    </row>
    <row r="52" customFormat="false" ht="15.75" hidden="false" customHeight="false" outlineLevel="0" collapsed="false">
      <c r="B52" s="89" t="s">
        <v>212</v>
      </c>
      <c r="C52" s="90" t="n">
        <v>0.04</v>
      </c>
      <c r="D52" s="78" t="n">
        <v>204.18</v>
      </c>
      <c r="E52" s="79" t="n">
        <v>0</v>
      </c>
      <c r="F52" s="92" t="n">
        <v>18.8397</v>
      </c>
      <c r="G52" s="82" t="n">
        <v>369.29</v>
      </c>
      <c r="H52" s="75" t="n">
        <v>1</v>
      </c>
      <c r="I52" s="35" t="n">
        <f aca="false">RANDBETWEEN(1,40)/100</f>
        <v>0.3</v>
      </c>
      <c r="J52" s="35" t="n">
        <f aca="false">RANDBETWEEN(1,100)/100</f>
        <v>0.55</v>
      </c>
      <c r="K52" s="71" t="n">
        <v>3</v>
      </c>
      <c r="L52" s="93" t="n">
        <v>40</v>
      </c>
      <c r="M52" s="78" t="n">
        <v>0.25</v>
      </c>
      <c r="N52" s="103" t="n">
        <v>1</v>
      </c>
      <c r="O52" s="72" t="n">
        <v>0</v>
      </c>
      <c r="P52" s="72" t="n">
        <v>0</v>
      </c>
      <c r="Q52" s="35" t="n">
        <v>0</v>
      </c>
      <c r="R52" s="87" t="n">
        <v>999</v>
      </c>
      <c r="S52" s="88" t="n">
        <v>0</v>
      </c>
      <c r="T52" s="35" t="n">
        <v>0</v>
      </c>
      <c r="U52" s="35" t="n">
        <v>0</v>
      </c>
      <c r="V52" s="33" t="n">
        <v>0.02</v>
      </c>
      <c r="W52" s="5" t="s">
        <v>102</v>
      </c>
    </row>
    <row r="53" customFormat="false" ht="15.75" hidden="false" customHeight="false" outlineLevel="0" collapsed="false">
      <c r="B53" s="89" t="s">
        <v>213</v>
      </c>
      <c r="C53" s="90" t="n">
        <v>0.04</v>
      </c>
      <c r="D53" s="78" t="n">
        <v>182.859375</v>
      </c>
      <c r="E53" s="79" t="n">
        <v>0</v>
      </c>
      <c r="F53" s="92" t="n">
        <v>18.8397</v>
      </c>
      <c r="G53" s="82" t="n">
        <v>369.29</v>
      </c>
      <c r="H53" s="75" t="n">
        <v>1</v>
      </c>
      <c r="I53" s="35" t="n">
        <f aca="false">RANDBETWEEN(1,40)/100</f>
        <v>0.03</v>
      </c>
      <c r="J53" s="35" t="n">
        <f aca="false">RANDBETWEEN(1,100)/100</f>
        <v>0.8</v>
      </c>
      <c r="K53" s="71" t="n">
        <v>3</v>
      </c>
      <c r="L53" s="93" t="n">
        <v>40</v>
      </c>
      <c r="M53" s="78" t="n">
        <v>0.32</v>
      </c>
      <c r="N53" s="103" t="n">
        <v>1</v>
      </c>
      <c r="O53" s="72" t="n">
        <v>0</v>
      </c>
      <c r="P53" s="72" t="n">
        <v>0</v>
      </c>
      <c r="Q53" s="35" t="n">
        <v>0</v>
      </c>
      <c r="R53" s="87" t="n">
        <v>999</v>
      </c>
      <c r="S53" s="88" t="n">
        <v>0</v>
      </c>
      <c r="T53" s="35" t="n">
        <v>0</v>
      </c>
      <c r="U53" s="35" t="n">
        <v>0</v>
      </c>
      <c r="V53" s="33" t="n">
        <v>0.02</v>
      </c>
      <c r="W53" s="5" t="s">
        <v>102</v>
      </c>
    </row>
    <row r="54" customFormat="false" ht="15.75" hidden="false" customHeight="false" outlineLevel="0" collapsed="false">
      <c r="B54" s="104" t="s">
        <v>214</v>
      </c>
      <c r="C54" s="90" t="n">
        <v>0.035</v>
      </c>
      <c r="D54" s="105" t="n">
        <v>17.84</v>
      </c>
      <c r="E54" s="79" t="n">
        <v>0.04</v>
      </c>
      <c r="F54" s="92" t="n">
        <v>1.027</v>
      </c>
      <c r="G54" s="106" t="n">
        <v>68.05</v>
      </c>
      <c r="H54" s="107" t="n">
        <v>312</v>
      </c>
      <c r="I54" s="108" t="n">
        <v>0.13</v>
      </c>
      <c r="J54" s="108" t="n">
        <v>0.7</v>
      </c>
      <c r="K54" s="107" t="n">
        <v>0</v>
      </c>
      <c r="L54" s="93" t="n">
        <v>25</v>
      </c>
      <c r="M54" s="78" t="n">
        <v>10.8</v>
      </c>
      <c r="N54" s="103" t="n">
        <v>10.8</v>
      </c>
      <c r="O54" s="107" t="n">
        <v>0</v>
      </c>
      <c r="P54" s="107" t="n">
        <v>0</v>
      </c>
      <c r="Q54" s="108" t="n">
        <v>0</v>
      </c>
      <c r="R54" s="109" t="n">
        <v>999</v>
      </c>
      <c r="S54" s="110" t="n">
        <v>0</v>
      </c>
      <c r="T54" s="108" t="n">
        <v>0</v>
      </c>
      <c r="U54" s="108" t="n">
        <v>0</v>
      </c>
      <c r="V54" s="108" t="n">
        <v>0.02</v>
      </c>
      <c r="W54" s="111" t="s">
        <v>102</v>
      </c>
    </row>
    <row r="55" customFormat="false" ht="15.75" hidden="false" customHeight="false" outlineLevel="0" collapsed="false">
      <c r="B55" s="71" t="s">
        <v>117</v>
      </c>
      <c r="C55" s="71" t="n">
        <v>1</v>
      </c>
      <c r="D55" s="71" t="n">
        <v>0</v>
      </c>
      <c r="E55" s="35" t="n">
        <v>0</v>
      </c>
      <c r="F55" s="71" t="n">
        <v>0</v>
      </c>
      <c r="G55" s="71" t="n">
        <v>0</v>
      </c>
      <c r="H55" s="71" t="n">
        <v>0</v>
      </c>
      <c r="I55" s="35" t="n">
        <f aca="false">RANDBETWEEN(1,40)/100</f>
        <v>0.01</v>
      </c>
      <c r="J55" s="35" t="n">
        <f aca="false">RANDBETWEEN(1,100)/100</f>
        <v>0.65</v>
      </c>
      <c r="K55" s="71" t="n">
        <v>1</v>
      </c>
      <c r="L55" s="112" t="n">
        <v>0</v>
      </c>
      <c r="M55" s="71" t="n">
        <v>0</v>
      </c>
      <c r="N55" s="71" t="n">
        <v>0</v>
      </c>
      <c r="O55" s="71" t="n">
        <v>0</v>
      </c>
      <c r="P55" s="71" t="n">
        <v>0</v>
      </c>
      <c r="Q55" s="35" t="n">
        <v>0</v>
      </c>
      <c r="R55" s="5" t="n">
        <v>0</v>
      </c>
      <c r="S55" s="35" t="n">
        <v>0</v>
      </c>
      <c r="T55" s="35" t="n">
        <v>0</v>
      </c>
      <c r="U55" s="35" t="n">
        <v>0</v>
      </c>
      <c r="V55" s="35" t="n">
        <v>0</v>
      </c>
      <c r="W55" s="35" t="s">
        <v>118</v>
      </c>
    </row>
    <row r="65" customFormat="false" ht="15" hidden="false" customHeight="false" outlineLevel="0" collapsed="false">
      <c r="D65" s="27"/>
      <c r="E65" s="27"/>
      <c r="F65" s="27"/>
      <c r="G65" s="27"/>
      <c r="H65" s="27"/>
      <c r="I65" s="27"/>
      <c r="J65" s="27"/>
      <c r="K65" s="27"/>
      <c r="L65" s="27"/>
      <c r="M65" s="27"/>
      <c r="N65" s="27"/>
      <c r="O65" s="27"/>
      <c r="P65" s="27"/>
      <c r="Q65" s="27"/>
      <c r="R65" s="27"/>
      <c r="S65" s="27"/>
      <c r="T65" s="27"/>
      <c r="U65" s="27"/>
    </row>
    <row r="66" customFormat="false" ht="15" hidden="false" customHeight="false" outlineLevel="0" collapsed="false">
      <c r="B66" s="113" t="s">
        <v>215</v>
      </c>
    </row>
    <row r="67" customFormat="false" ht="31.5" hidden="false" customHeight="false" outlineLevel="0" collapsed="false">
      <c r="B67" s="56" t="s">
        <v>216</v>
      </c>
      <c r="C67" s="57" t="s">
        <v>217</v>
      </c>
    </row>
    <row r="68" customFormat="false" ht="15" hidden="false" customHeight="false" outlineLevel="0" collapsed="false">
      <c r="B68" s="58" t="s">
        <v>218</v>
      </c>
      <c r="C68" s="114" t="n">
        <v>0.8</v>
      </c>
    </row>
    <row r="69" customFormat="false" ht="15" hidden="false" customHeight="false" outlineLevel="0" collapsed="false">
      <c r="B69" s="58" t="s">
        <v>219</v>
      </c>
      <c r="C69" s="114" t="n">
        <v>0.85</v>
      </c>
    </row>
    <row r="70" customFormat="false" ht="15" hidden="false" customHeight="false" outlineLevel="0" collapsed="false">
      <c r="B70" s="64" t="s">
        <v>220</v>
      </c>
      <c r="C70" s="115" t="n">
        <v>1</v>
      </c>
    </row>
    <row r="76" customFormat="false" ht="10.5" hidden="false" customHeight="true" outlineLevel="0" collapsed="false"/>
    <row r="77" customFormat="false" ht="14.25" hidden="false" customHeight="true" outlineLevel="0" collapsed="false"/>
    <row r="78" customFormat="false" ht="22.5" hidden="false" customHeight="true" outlineLevel="0" collapsed="false">
      <c r="B78" s="116" t="s">
        <v>221</v>
      </c>
      <c r="C78" s="116" t="s">
        <v>222</v>
      </c>
      <c r="D78" s="116"/>
      <c r="E78" s="117"/>
      <c r="F78" s="118" t="s">
        <v>223</v>
      </c>
      <c r="G78" s="118" t="s">
        <v>224</v>
      </c>
      <c r="H78" s="119"/>
      <c r="I78" s="116" t="s">
        <v>225</v>
      </c>
      <c r="J78" s="116"/>
    </row>
    <row r="79" customFormat="false" ht="16.5" hidden="false" customHeight="false" outlineLevel="0" collapsed="false">
      <c r="B79" s="116"/>
      <c r="C79" s="117" t="s">
        <v>226</v>
      </c>
      <c r="D79" s="117" t="s">
        <v>227</v>
      </c>
      <c r="E79" s="117"/>
      <c r="F79" s="118"/>
      <c r="G79" s="118"/>
      <c r="H79" s="120"/>
      <c r="I79" s="117" t="s">
        <v>228</v>
      </c>
      <c r="J79" s="117" t="s">
        <v>229</v>
      </c>
    </row>
    <row r="80" customFormat="false" ht="15" hidden="false" customHeight="false" outlineLevel="0" collapsed="false">
      <c r="B80" s="121" t="s">
        <v>230</v>
      </c>
      <c r="C80" s="122" t="n">
        <v>32</v>
      </c>
      <c r="D80" s="122" t="n">
        <v>32</v>
      </c>
      <c r="E80" s="123" t="s">
        <v>231</v>
      </c>
      <c r="F80" s="122" t="s">
        <v>232</v>
      </c>
      <c r="G80" s="123" t="s">
        <v>233</v>
      </c>
      <c r="H80" s="123"/>
      <c r="I80" s="122" t="n">
        <v>1</v>
      </c>
      <c r="J80" s="124" t="n">
        <f aca="false">I80/(AVERAGE(C80:D80))</f>
        <v>0.03125</v>
      </c>
    </row>
    <row r="81" customFormat="false" ht="15" hidden="false" customHeight="false" outlineLevel="0" collapsed="false">
      <c r="B81" s="121" t="s">
        <v>234</v>
      </c>
      <c r="C81" s="122" t="n">
        <v>23</v>
      </c>
      <c r="D81" s="122" t="n">
        <v>23</v>
      </c>
      <c r="E81" s="123" t="s">
        <v>233</v>
      </c>
      <c r="F81" s="122" t="n">
        <v>0.038</v>
      </c>
      <c r="G81" s="123" t="s">
        <v>233</v>
      </c>
      <c r="H81" s="123"/>
      <c r="I81" s="122" t="n">
        <v>1</v>
      </c>
      <c r="J81" s="124" t="n">
        <f aca="false">I81/(AVERAGE(C81:D81))</f>
        <v>0.0434782608695652</v>
      </c>
    </row>
    <row r="82" customFormat="false" ht="15" hidden="false" customHeight="false" outlineLevel="0" collapsed="false">
      <c r="B82" s="121" t="s">
        <v>235</v>
      </c>
      <c r="C82" s="122" t="n">
        <v>30</v>
      </c>
      <c r="D82" s="122" t="n">
        <v>40</v>
      </c>
      <c r="E82" s="123" t="s">
        <v>233</v>
      </c>
      <c r="F82" s="122" t="s">
        <v>236</v>
      </c>
      <c r="G82" s="123" t="s">
        <v>233</v>
      </c>
      <c r="H82" s="123"/>
      <c r="I82" s="122" t="n">
        <v>1</v>
      </c>
      <c r="J82" s="124" t="n">
        <f aca="false">I82/(AVERAGE(C82:D82))</f>
        <v>0.0285714285714286</v>
      </c>
    </row>
    <row r="83" customFormat="false" ht="15" hidden="false" customHeight="false" outlineLevel="0" collapsed="false">
      <c r="B83" s="121" t="s">
        <v>237</v>
      </c>
      <c r="C83" s="122" t="n">
        <v>15</v>
      </c>
      <c r="D83" s="122" t="n">
        <v>30</v>
      </c>
      <c r="E83" s="123" t="s">
        <v>233</v>
      </c>
      <c r="F83" s="122" t="s">
        <v>238</v>
      </c>
      <c r="G83" s="123" t="s">
        <v>233</v>
      </c>
      <c r="H83" s="123"/>
      <c r="I83" s="122" t="n">
        <v>1</v>
      </c>
      <c r="J83" s="124" t="n">
        <f aca="false">I83/(AVERAGE(C83:D83))</f>
        <v>0.0444444444444444</v>
      </c>
    </row>
    <row r="84" customFormat="false" ht="15" hidden="false" customHeight="false" outlineLevel="0" collapsed="false">
      <c r="B84" s="121" t="s">
        <v>239</v>
      </c>
      <c r="C84" s="122" t="n">
        <v>20</v>
      </c>
      <c r="D84" s="122" t="n">
        <v>40</v>
      </c>
      <c r="E84" s="123" t="s">
        <v>233</v>
      </c>
      <c r="F84" s="122" t="s">
        <v>240</v>
      </c>
      <c r="G84" s="123" t="s">
        <v>233</v>
      </c>
      <c r="H84" s="123"/>
      <c r="I84" s="122" t="n">
        <v>1</v>
      </c>
      <c r="J84" s="124" t="n">
        <f aca="false">I84/(AVERAGE(C84:D84))</f>
        <v>0.0333333333333333</v>
      </c>
    </row>
    <row r="85" customFormat="false" ht="15" hidden="false" customHeight="false" outlineLevel="0" collapsed="false">
      <c r="B85" s="121" t="s">
        <v>241</v>
      </c>
      <c r="C85" s="122" t="n">
        <v>150</v>
      </c>
      <c r="D85" s="122" t="n">
        <v>150</v>
      </c>
      <c r="E85" s="123" t="s">
        <v>233</v>
      </c>
      <c r="F85" s="122" t="n">
        <v>0.014</v>
      </c>
      <c r="G85" s="123" t="s">
        <v>233</v>
      </c>
      <c r="H85" s="123"/>
      <c r="I85" s="122" t="n">
        <v>1</v>
      </c>
      <c r="J85" s="124" t="n">
        <f aca="false">I85/(AVERAGE(C85:D85))</f>
        <v>0.00666666666666667</v>
      </c>
    </row>
    <row r="86" customFormat="false" ht="15" hidden="false" customHeight="false" outlineLevel="0" collapsed="false">
      <c r="B86" s="121" t="s">
        <v>242</v>
      </c>
      <c r="C86" s="122" t="n">
        <v>27</v>
      </c>
      <c r="D86" s="122" t="n">
        <v>65</v>
      </c>
      <c r="E86" s="123" t="s">
        <v>233</v>
      </c>
      <c r="F86" s="122" t="s">
        <v>243</v>
      </c>
      <c r="G86" s="123" t="s">
        <v>233</v>
      </c>
      <c r="H86" s="123"/>
      <c r="I86" s="122" t="n">
        <v>1</v>
      </c>
      <c r="J86" s="124" t="n">
        <f aca="false">I86/(AVERAGE(C86:D86))</f>
        <v>0.0217391304347826</v>
      </c>
    </row>
    <row r="87" customFormat="false" ht="15" hidden="false" customHeight="false" outlineLevel="0" collapsed="false">
      <c r="B87" s="122" t="s">
        <v>244</v>
      </c>
      <c r="C87" s="122" t="n">
        <v>40</v>
      </c>
      <c r="D87" s="122" t="n">
        <v>40</v>
      </c>
      <c r="E87" s="123" t="s">
        <v>233</v>
      </c>
      <c r="F87" s="122" t="n">
        <v>0.035</v>
      </c>
      <c r="G87" s="123" t="s">
        <v>233</v>
      </c>
      <c r="H87" s="123"/>
      <c r="I87" s="122" t="n">
        <v>1</v>
      </c>
      <c r="J87" s="124" t="n">
        <f aca="false">I87/(AVERAGE(C87:D87))</f>
        <v>0.025</v>
      </c>
    </row>
  </sheetData>
  <mergeCells count="5">
    <mergeCell ref="B78:B79"/>
    <mergeCell ref="C78:D78"/>
    <mergeCell ref="F78:F79"/>
    <mergeCell ref="G78:G79"/>
    <mergeCell ref="I78:J78"/>
  </mergeCells>
  <hyperlinks>
    <hyperlink ref="E80" r:id="rId2" display="Researchgate"/>
    <hyperlink ref="G80" r:id="rId3" display="Link"/>
    <hyperlink ref="E81" r:id="rId4" display="Link"/>
    <hyperlink ref="G81" r:id="rId5" display="Link"/>
    <hyperlink ref="E82" r:id="rId6" display="Link"/>
    <hyperlink ref="G82" r:id="rId7" display="Link"/>
    <hyperlink ref="E83" r:id="rId8" display="Link"/>
    <hyperlink ref="G83" r:id="rId9" display="Link"/>
    <hyperlink ref="E84" r:id="rId10" display="Link"/>
    <hyperlink ref="G84" r:id="rId11" display="Link"/>
    <hyperlink ref="E85" r:id="rId12" display="Link"/>
    <hyperlink ref="G85" r:id="rId13" display="Link"/>
    <hyperlink ref="E86" r:id="rId14" display="Link"/>
    <hyperlink ref="G86" r:id="rId15" display="Link"/>
    <hyperlink ref="E87" r:id="rId16" display="Link"/>
    <hyperlink ref="G87" r:id="rId17" display="Link"/>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18"/>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W21"/>
  <sheetViews>
    <sheetView showFormulas="false" showGridLines="true" showRowColHeaders="true" showZeros="true" rightToLeft="false" tabSelected="false" showOutlineSymbols="true" defaultGridColor="true" view="normal" topLeftCell="A1" colorId="64" zoomScale="219" zoomScaleNormal="219" zoomScalePageLayoutView="100" workbookViewId="0">
      <selection pane="topLeft" activeCell="V2" activeCellId="0" sqref="V2"/>
    </sheetView>
  </sheetViews>
  <sheetFormatPr defaultColWidth="8.5078125" defaultRowHeight="15" zeroHeight="false" outlineLevelRow="0" outlineLevelCol="0"/>
  <cols>
    <col collapsed="false" customWidth="true" hidden="false" outlineLevel="0" max="1" min="1" style="0" width="25.33"/>
    <col collapsed="false" customWidth="true" hidden="false" outlineLevel="0" max="2" min="2" style="0" width="9.51"/>
    <col collapsed="false" customWidth="true" hidden="false" outlineLevel="0" max="3" min="3" style="0" width="16.66"/>
    <col collapsed="false" customWidth="true" hidden="false" outlineLevel="0" max="4" min="4" style="27" width="14.33"/>
    <col collapsed="false" customWidth="true" hidden="false" outlineLevel="0" max="5" min="5" style="27" width="14.66"/>
    <col collapsed="false" customWidth="true" hidden="false" outlineLevel="0" max="6" min="6" style="27" width="11.33"/>
    <col collapsed="false" customWidth="true" hidden="false" outlineLevel="0" max="10" min="7" style="27" width="15.66"/>
    <col collapsed="false" customWidth="true" hidden="false" outlineLevel="0" max="11" min="11" style="27" width="24"/>
    <col collapsed="false" customWidth="true" hidden="false" outlineLevel="0" max="13" min="12" style="27" width="7.66"/>
    <col collapsed="false" customWidth="true" hidden="false" outlineLevel="0" max="14" min="14" style="27" width="10.66"/>
    <col collapsed="false" customWidth="true" hidden="false" outlineLevel="0" max="16" min="15" style="27" width="15.33"/>
    <col collapsed="false" customWidth="true" hidden="false" outlineLevel="0" max="17" min="17" style="27" width="15"/>
    <col collapsed="false" customWidth="true" hidden="false" outlineLevel="0" max="19" min="18" style="27" width="19.67"/>
    <col collapsed="false" customWidth="true" hidden="false" outlineLevel="0" max="20" min="20" style="27" width="17.67"/>
    <col collapsed="false" customWidth="true" hidden="false" outlineLevel="0" max="21" min="21" style="27" width="14.5"/>
    <col collapsed="false" customWidth="true" hidden="false" outlineLevel="0" max="22" min="22" style="27" width="30.33"/>
    <col collapsed="false" customWidth="true" hidden="false" outlineLevel="0" max="23" min="23" style="27" width="13.51"/>
  </cols>
  <sheetData>
    <row r="1" customFormat="false" ht="15" hidden="false" customHeight="false" outlineLevel="0" collapsed="false">
      <c r="A1" s="26" t="s">
        <v>31</v>
      </c>
      <c r="B1" s="54"/>
      <c r="C1" s="54"/>
      <c r="D1" s="54"/>
      <c r="E1" s="54"/>
      <c r="F1" s="54" t="s">
        <v>77</v>
      </c>
      <c r="G1" s="54" t="s">
        <v>77</v>
      </c>
      <c r="H1" s="54"/>
      <c r="I1" s="54"/>
      <c r="J1" s="54"/>
      <c r="K1" s="54" t="s">
        <v>245</v>
      </c>
      <c r="L1" s="54" t="s">
        <v>77</v>
      </c>
      <c r="M1" s="54"/>
      <c r="N1" s="54"/>
      <c r="O1" s="54"/>
      <c r="P1" s="54"/>
      <c r="Q1" s="54"/>
      <c r="R1" s="54"/>
      <c r="S1" s="54"/>
      <c r="T1" s="54" t="s">
        <v>77</v>
      </c>
      <c r="U1" s="54"/>
      <c r="V1" s="54" t="s">
        <v>77</v>
      </c>
      <c r="W1" s="54"/>
    </row>
    <row r="2" customFormat="false" ht="31.5" hidden="false" customHeight="false" outlineLevel="0" collapsed="false">
      <c r="A2" s="28" t="s">
        <v>246</v>
      </c>
      <c r="B2" s="29" t="s">
        <v>79</v>
      </c>
      <c r="C2" s="70" t="s">
        <v>80</v>
      </c>
      <c r="D2" s="30" t="s">
        <v>84</v>
      </c>
      <c r="E2" s="30" t="s">
        <v>85</v>
      </c>
      <c r="F2" s="30" t="s">
        <v>86</v>
      </c>
      <c r="G2" s="30" t="s">
        <v>87</v>
      </c>
      <c r="H2" s="30" t="s">
        <v>88</v>
      </c>
      <c r="I2" s="30" t="s">
        <v>23</v>
      </c>
      <c r="J2" s="30" t="s">
        <v>25</v>
      </c>
      <c r="K2" s="29" t="s">
        <v>27</v>
      </c>
      <c r="L2" s="29" t="s">
        <v>89</v>
      </c>
      <c r="M2" s="29" t="s">
        <v>90</v>
      </c>
      <c r="N2" s="30" t="s">
        <v>91</v>
      </c>
      <c r="O2" s="29" t="s">
        <v>33</v>
      </c>
      <c r="P2" s="29" t="s">
        <v>36</v>
      </c>
      <c r="Q2" s="29" t="s">
        <v>92</v>
      </c>
      <c r="R2" s="29" t="s">
        <v>93</v>
      </c>
      <c r="S2" s="29" t="s">
        <v>94</v>
      </c>
      <c r="T2" s="29" t="s">
        <v>95</v>
      </c>
      <c r="U2" s="29" t="s">
        <v>96</v>
      </c>
      <c r="V2" s="29" t="s">
        <v>97</v>
      </c>
      <c r="W2" s="29" t="s">
        <v>98</v>
      </c>
    </row>
    <row r="3" customFormat="false" ht="15" hidden="false" customHeight="false" outlineLevel="0" collapsed="false">
      <c r="B3" s="125" t="s">
        <v>247</v>
      </c>
      <c r="C3" s="126" t="s">
        <v>248</v>
      </c>
      <c r="D3" s="127" t="n">
        <v>100</v>
      </c>
      <c r="E3" s="128" t="n">
        <v>0.01</v>
      </c>
      <c r="F3" s="127" t="n">
        <v>30</v>
      </c>
      <c r="G3" s="127" t="n">
        <v>500</v>
      </c>
      <c r="H3" s="129" t="n">
        <v>1</v>
      </c>
      <c r="I3" s="35" t="n">
        <f aca="false">RANDBETWEEN(1,40)/100</f>
        <v>0.2</v>
      </c>
      <c r="J3" s="35" t="n">
        <f aca="false">RANDBETWEEN(1,100)/100</f>
        <v>0.07</v>
      </c>
      <c r="K3" s="98" t="n">
        <v>50</v>
      </c>
      <c r="L3" s="127" t="n">
        <v>25</v>
      </c>
      <c r="M3" s="127" t="n">
        <v>1</v>
      </c>
      <c r="N3" s="127" t="n">
        <v>100</v>
      </c>
      <c r="O3" s="127" t="n">
        <v>0</v>
      </c>
      <c r="P3" s="127" t="n">
        <v>0</v>
      </c>
      <c r="Q3" s="130" t="n">
        <v>0</v>
      </c>
      <c r="R3" s="131" t="n">
        <v>999</v>
      </c>
      <c r="S3" s="132" t="n">
        <v>0</v>
      </c>
      <c r="T3" s="130" t="n">
        <v>0</v>
      </c>
      <c r="U3" s="130" t="n">
        <v>0</v>
      </c>
      <c r="V3" s="132" t="n">
        <v>0.02</v>
      </c>
      <c r="W3" s="71" t="s">
        <v>102</v>
      </c>
    </row>
    <row r="4" customFormat="false" ht="15" hidden="false" customHeight="false" outlineLevel="0" collapsed="false">
      <c r="B4" s="125" t="s">
        <v>247</v>
      </c>
      <c r="C4" s="126" t="s">
        <v>249</v>
      </c>
      <c r="D4" s="127" t="n">
        <v>100</v>
      </c>
      <c r="E4" s="128" t="n">
        <v>0.01</v>
      </c>
      <c r="F4" s="78" t="n">
        <f aca="false">79.2/58</f>
        <v>1.36551724137931</v>
      </c>
      <c r="G4" s="78" t="n">
        <f aca="false">7.41*10^3/N4</f>
        <v>127.758620689655</v>
      </c>
      <c r="H4" s="129" t="n">
        <v>1</v>
      </c>
      <c r="I4" s="35" t="n">
        <f aca="false">RANDBETWEEN(1,40)/100</f>
        <v>0.11</v>
      </c>
      <c r="J4" s="35" t="n">
        <f aca="false">RANDBETWEEN(1,100)/100</f>
        <v>0.62</v>
      </c>
      <c r="K4" s="98" t="n">
        <v>50</v>
      </c>
      <c r="L4" s="127" t="n">
        <v>25</v>
      </c>
      <c r="M4" s="127" t="n">
        <v>1</v>
      </c>
      <c r="N4" s="78" t="n">
        <v>58</v>
      </c>
      <c r="O4" s="127" t="n">
        <v>0</v>
      </c>
      <c r="P4" s="127" t="n">
        <v>0</v>
      </c>
      <c r="Q4" s="130" t="n">
        <v>0</v>
      </c>
      <c r="R4" s="131" t="n">
        <v>999</v>
      </c>
      <c r="S4" s="132" t="n">
        <v>0</v>
      </c>
      <c r="T4" s="130" t="n">
        <v>0</v>
      </c>
      <c r="U4" s="130" t="n">
        <v>0</v>
      </c>
      <c r="V4" s="132" t="n">
        <v>0.02</v>
      </c>
      <c r="W4" s="71" t="s">
        <v>102</v>
      </c>
    </row>
    <row r="5" customFormat="false" ht="15" hidden="false" customHeight="false" outlineLevel="0" collapsed="false">
      <c r="B5" s="125"/>
      <c r="C5" s="126"/>
      <c r="D5" s="98"/>
      <c r="E5" s="133"/>
      <c r="F5" s="98"/>
      <c r="G5" s="98"/>
      <c r="H5" s="98"/>
      <c r="I5" s="35"/>
      <c r="J5" s="35"/>
      <c r="K5" s="98"/>
      <c r="L5" s="98"/>
      <c r="M5" s="98"/>
      <c r="N5" s="98"/>
      <c r="O5" s="98"/>
      <c r="P5" s="98"/>
      <c r="Q5" s="130"/>
      <c r="R5" s="71"/>
      <c r="S5" s="130"/>
      <c r="T5" s="130"/>
      <c r="U5" s="130"/>
      <c r="V5" s="130"/>
      <c r="W5" s="71"/>
    </row>
    <row r="6" customFormat="false" ht="15" hidden="false" customHeight="false" outlineLevel="0" collapsed="false">
      <c r="B6" s="125"/>
      <c r="C6" s="126"/>
      <c r="D6" s="98"/>
      <c r="E6" s="133"/>
      <c r="F6" s="98"/>
      <c r="G6" s="98"/>
      <c r="H6" s="98"/>
      <c r="I6" s="35"/>
      <c r="J6" s="35"/>
      <c r="K6" s="98"/>
      <c r="L6" s="98"/>
      <c r="M6" s="98"/>
      <c r="N6" s="98"/>
      <c r="O6" s="98"/>
      <c r="P6" s="98"/>
      <c r="Q6" s="130"/>
      <c r="R6" s="71"/>
      <c r="S6" s="130"/>
      <c r="T6" s="130"/>
      <c r="U6" s="130"/>
      <c r="V6" s="130"/>
      <c r="W6" s="71"/>
    </row>
    <row r="7" customFormat="false" ht="15" hidden="false" customHeight="false" outlineLevel="0" collapsed="false">
      <c r="B7" s="125"/>
      <c r="C7" s="126"/>
      <c r="D7" s="98"/>
      <c r="E7" s="133"/>
      <c r="F7" s="98"/>
      <c r="G7" s="98"/>
      <c r="H7" s="98"/>
      <c r="I7" s="35"/>
      <c r="J7" s="35"/>
      <c r="K7" s="98"/>
      <c r="L7" s="98"/>
      <c r="M7" s="98"/>
      <c r="N7" s="98"/>
      <c r="O7" s="98"/>
      <c r="P7" s="98"/>
      <c r="Q7" s="130"/>
      <c r="R7" s="71"/>
      <c r="S7" s="130"/>
      <c r="T7" s="130"/>
      <c r="U7" s="130"/>
      <c r="V7" s="130"/>
      <c r="W7" s="71"/>
    </row>
    <row r="8" customFormat="false" ht="15" hidden="false" customHeight="false" outlineLevel="0" collapsed="false">
      <c r="B8" s="125"/>
      <c r="C8" s="126"/>
      <c r="D8" s="98"/>
      <c r="E8" s="133"/>
      <c r="F8" s="98"/>
      <c r="G8" s="98"/>
      <c r="H8" s="98"/>
      <c r="I8" s="35"/>
      <c r="J8" s="35"/>
      <c r="K8" s="98"/>
      <c r="L8" s="98"/>
      <c r="M8" s="98"/>
      <c r="N8" s="98"/>
      <c r="O8" s="98"/>
      <c r="P8" s="98"/>
      <c r="Q8" s="130"/>
      <c r="R8" s="71"/>
      <c r="S8" s="130"/>
      <c r="T8" s="130"/>
      <c r="U8" s="130"/>
      <c r="V8" s="130"/>
      <c r="W8" s="71"/>
    </row>
    <row r="9" customFormat="false" ht="15" hidden="false" customHeight="false" outlineLevel="0" collapsed="false">
      <c r="B9" s="125"/>
      <c r="C9" s="126"/>
      <c r="D9" s="98"/>
      <c r="E9" s="133"/>
      <c r="F9" s="98"/>
      <c r="G9" s="98"/>
      <c r="H9" s="98"/>
      <c r="I9" s="35"/>
      <c r="J9" s="35"/>
      <c r="K9" s="98"/>
      <c r="L9" s="98"/>
      <c r="M9" s="98"/>
      <c r="N9" s="98"/>
      <c r="O9" s="98"/>
      <c r="P9" s="98"/>
      <c r="Q9" s="130"/>
      <c r="R9" s="71"/>
      <c r="S9" s="130"/>
      <c r="T9" s="130"/>
      <c r="U9" s="130"/>
      <c r="V9" s="130"/>
      <c r="W9" s="71"/>
    </row>
    <row r="10" customFormat="false" ht="15" hidden="false" customHeight="false" outlineLevel="0" collapsed="false">
      <c r="B10" s="125"/>
      <c r="C10" s="126"/>
      <c r="D10" s="98"/>
      <c r="E10" s="133"/>
      <c r="F10" s="98"/>
      <c r="G10" s="98"/>
      <c r="H10" s="98"/>
      <c r="I10" s="35"/>
      <c r="J10" s="35"/>
      <c r="K10" s="98"/>
      <c r="L10" s="98"/>
      <c r="M10" s="98"/>
      <c r="N10" s="98"/>
      <c r="O10" s="98"/>
      <c r="P10" s="98"/>
      <c r="Q10" s="130"/>
      <c r="R10" s="71"/>
      <c r="S10" s="130"/>
      <c r="T10" s="130"/>
      <c r="U10" s="130"/>
      <c r="V10" s="130"/>
      <c r="W10" s="71"/>
    </row>
    <row r="11" customFormat="false" ht="15" hidden="false" customHeight="false" outlineLevel="0" collapsed="false">
      <c r="B11" s="125"/>
      <c r="C11" s="126"/>
      <c r="D11" s="98"/>
      <c r="E11" s="133"/>
      <c r="F11" s="98"/>
      <c r="G11" s="98"/>
      <c r="H11" s="98"/>
      <c r="I11" s="35"/>
      <c r="J11" s="35"/>
      <c r="K11" s="98"/>
      <c r="L11" s="98"/>
      <c r="M11" s="98"/>
      <c r="N11" s="98"/>
      <c r="O11" s="98"/>
      <c r="P11" s="98"/>
      <c r="Q11" s="130"/>
      <c r="R11" s="71"/>
      <c r="S11" s="130"/>
      <c r="T11" s="130"/>
      <c r="U11" s="130"/>
      <c r="V11" s="130"/>
      <c r="W11" s="71"/>
    </row>
    <row r="12" customFormat="false" ht="15" hidden="false" customHeight="false" outlineLevel="0" collapsed="false">
      <c r="B12" s="125"/>
      <c r="C12" s="126"/>
      <c r="D12" s="98"/>
      <c r="E12" s="133"/>
      <c r="F12" s="98"/>
      <c r="G12" s="98"/>
      <c r="H12" s="98"/>
      <c r="I12" s="98"/>
      <c r="J12" s="98"/>
      <c r="K12" s="98"/>
      <c r="L12" s="98"/>
      <c r="M12" s="98"/>
      <c r="N12" s="98"/>
      <c r="O12" s="98"/>
      <c r="P12" s="98"/>
      <c r="Q12" s="130"/>
      <c r="R12" s="71"/>
      <c r="S12" s="130"/>
      <c r="T12" s="130"/>
      <c r="U12" s="130"/>
      <c r="V12" s="130"/>
      <c r="W12" s="130"/>
    </row>
    <row r="13" customFormat="false" ht="15" hidden="false" customHeight="false" outlineLevel="0" collapsed="false">
      <c r="B13" s="125"/>
      <c r="C13" s="126"/>
      <c r="D13" s="98"/>
      <c r="E13" s="133"/>
      <c r="F13" s="98"/>
      <c r="G13" s="98"/>
      <c r="H13" s="98"/>
      <c r="I13" s="98"/>
      <c r="J13" s="98"/>
      <c r="K13" s="98"/>
      <c r="L13" s="98"/>
      <c r="M13" s="98"/>
      <c r="N13" s="98"/>
      <c r="O13" s="98"/>
      <c r="P13" s="98"/>
      <c r="Q13" s="130"/>
      <c r="R13" s="71"/>
      <c r="S13" s="130"/>
      <c r="T13" s="130"/>
      <c r="U13" s="130"/>
      <c r="V13" s="130"/>
      <c r="W13" s="130"/>
    </row>
    <row r="14" customFormat="false" ht="15" hidden="false" customHeight="false" outlineLevel="0" collapsed="false">
      <c r="B14" s="125"/>
      <c r="C14" s="126"/>
      <c r="D14" s="98"/>
      <c r="E14" s="133"/>
      <c r="F14" s="98"/>
      <c r="G14" s="98"/>
      <c r="H14" s="98"/>
      <c r="I14" s="98"/>
      <c r="J14" s="98"/>
      <c r="K14" s="98"/>
      <c r="L14" s="98"/>
      <c r="M14" s="98"/>
      <c r="N14" s="98"/>
      <c r="O14" s="98"/>
      <c r="P14" s="98"/>
      <c r="Q14" s="130"/>
      <c r="R14" s="71"/>
      <c r="S14" s="130"/>
      <c r="T14" s="130"/>
      <c r="U14" s="130"/>
      <c r="V14" s="130"/>
      <c r="W14" s="130"/>
    </row>
    <row r="15" customFormat="false" ht="15" hidden="false" customHeight="false" outlineLevel="0" collapsed="false">
      <c r="B15" s="125"/>
      <c r="C15" s="126"/>
      <c r="D15" s="98"/>
      <c r="E15" s="133"/>
      <c r="F15" s="98"/>
      <c r="G15" s="98"/>
      <c r="H15" s="98"/>
      <c r="I15" s="98"/>
      <c r="J15" s="98"/>
      <c r="K15" s="98"/>
      <c r="L15" s="98"/>
      <c r="M15" s="98"/>
      <c r="N15" s="98"/>
      <c r="O15" s="98"/>
      <c r="P15" s="98"/>
      <c r="Q15" s="130"/>
      <c r="R15" s="71"/>
      <c r="S15" s="130"/>
      <c r="T15" s="130"/>
      <c r="U15" s="130"/>
      <c r="V15" s="130"/>
      <c r="W15" s="130"/>
    </row>
    <row r="16" customFormat="false" ht="15" hidden="false" customHeight="false" outlineLevel="0" collapsed="false">
      <c r="B16" s="125"/>
      <c r="C16" s="126"/>
      <c r="D16" s="98"/>
      <c r="E16" s="133"/>
      <c r="F16" s="98"/>
      <c r="G16" s="98"/>
      <c r="H16" s="98"/>
      <c r="I16" s="98"/>
      <c r="J16" s="98"/>
      <c r="K16" s="98"/>
      <c r="L16" s="98"/>
      <c r="M16" s="98"/>
      <c r="N16" s="98"/>
      <c r="O16" s="98"/>
      <c r="P16" s="98"/>
      <c r="Q16" s="130"/>
      <c r="R16" s="71"/>
      <c r="S16" s="130"/>
      <c r="T16" s="130"/>
      <c r="U16" s="130"/>
      <c r="V16" s="130"/>
      <c r="W16" s="130"/>
    </row>
    <row r="17" customFormat="false" ht="15" hidden="false" customHeight="false" outlineLevel="0" collapsed="false">
      <c r="B17" s="125"/>
      <c r="C17" s="126"/>
      <c r="D17" s="98"/>
      <c r="E17" s="133"/>
      <c r="F17" s="98"/>
      <c r="G17" s="98"/>
      <c r="H17" s="98"/>
      <c r="I17" s="98"/>
      <c r="J17" s="98"/>
      <c r="K17" s="98"/>
      <c r="L17" s="98"/>
      <c r="M17" s="98"/>
      <c r="N17" s="98"/>
      <c r="O17" s="98"/>
      <c r="P17" s="98"/>
      <c r="Q17" s="130"/>
      <c r="R17" s="71"/>
      <c r="S17" s="130"/>
      <c r="T17" s="130"/>
      <c r="U17" s="130"/>
      <c r="V17" s="130"/>
      <c r="W17" s="130"/>
    </row>
    <row r="21" customFormat="false" ht="15" hidden="false" customHeight="false" outlineLevel="0" collapsed="false">
      <c r="A21" s="44" t="s">
        <v>250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W17"/>
  <sheetViews>
    <sheetView showFormulas="false" showGridLines="true" showRowColHeaders="true" showZeros="true" rightToLeft="false" tabSelected="false" showOutlineSymbols="true" defaultGridColor="true" view="normal" topLeftCell="T1" colorId="64" zoomScale="251" zoomScaleNormal="251" zoomScalePageLayoutView="100" workbookViewId="0">
      <selection pane="topLeft" activeCell="V3" activeCellId="0" sqref="V3"/>
    </sheetView>
  </sheetViews>
  <sheetFormatPr defaultColWidth="8.5078125" defaultRowHeight="15" zeroHeight="false" outlineLevelRow="0" outlineLevelCol="0"/>
  <cols>
    <col collapsed="false" customWidth="true" hidden="false" outlineLevel="0" max="1" min="1" style="0" width="25.33"/>
    <col collapsed="false" customWidth="true" hidden="false" outlineLevel="0" max="2" min="2" style="0" width="9.51"/>
    <col collapsed="false" customWidth="true" hidden="false" outlineLevel="0" max="3" min="3" style="0" width="18.33"/>
    <col collapsed="false" customWidth="true" hidden="false" outlineLevel="0" max="4" min="4" style="27" width="14.33"/>
    <col collapsed="false" customWidth="true" hidden="false" outlineLevel="0" max="5" min="5" style="27" width="14.66"/>
    <col collapsed="false" customWidth="true" hidden="false" outlineLevel="0" max="6" min="6" style="27" width="11.33"/>
    <col collapsed="false" customWidth="true" hidden="false" outlineLevel="0" max="10" min="7" style="27" width="15.66"/>
    <col collapsed="false" customWidth="true" hidden="false" outlineLevel="0" max="11" min="11" style="27" width="24"/>
    <col collapsed="false" customWidth="true" hidden="false" outlineLevel="0" max="13" min="12" style="27" width="7.66"/>
    <col collapsed="false" customWidth="true" hidden="false" outlineLevel="0" max="14" min="14" style="27" width="10.66"/>
    <col collapsed="false" customWidth="true" hidden="false" outlineLevel="0" max="16" min="15" style="27" width="15.33"/>
    <col collapsed="false" customWidth="true" hidden="false" outlineLevel="0" max="17" min="17" style="27" width="15"/>
    <col collapsed="false" customWidth="true" hidden="false" outlineLevel="0" max="19" min="18" style="27" width="19.67"/>
    <col collapsed="false" customWidth="true" hidden="false" outlineLevel="0" max="20" min="20" style="27" width="17.67"/>
    <col collapsed="false" customWidth="true" hidden="false" outlineLevel="0" max="21" min="21" style="27" width="14.5"/>
    <col collapsed="false" customWidth="true" hidden="false" outlineLevel="0" max="22" min="22" style="27" width="30.33"/>
    <col collapsed="false" customWidth="true" hidden="false" outlineLevel="0" max="23" min="23" style="27" width="13.51"/>
  </cols>
  <sheetData>
    <row r="1" customFormat="false" ht="15" hidden="false" customHeight="false" outlineLevel="0" collapsed="false">
      <c r="A1" s="26" t="s">
        <v>31</v>
      </c>
      <c r="B1" s="54"/>
      <c r="C1" s="54"/>
      <c r="D1" s="54"/>
      <c r="E1" s="54"/>
      <c r="F1" s="54" t="s">
        <v>77</v>
      </c>
      <c r="G1" s="54" t="s">
        <v>77</v>
      </c>
      <c r="H1" s="54"/>
      <c r="I1" s="54"/>
      <c r="J1" s="54"/>
      <c r="K1" s="54" t="s">
        <v>245</v>
      </c>
      <c r="L1" s="54" t="s">
        <v>77</v>
      </c>
      <c r="M1" s="54"/>
      <c r="N1" s="54"/>
      <c r="O1" s="54"/>
      <c r="P1" s="54"/>
      <c r="Q1" s="54"/>
      <c r="R1" s="54"/>
      <c r="S1" s="54"/>
      <c r="T1" s="54" t="s">
        <v>77</v>
      </c>
      <c r="U1" s="54"/>
      <c r="V1" s="54" t="s">
        <v>77</v>
      </c>
      <c r="W1" s="54"/>
    </row>
    <row r="2" customFormat="false" ht="33" hidden="false" customHeight="false" outlineLevel="0" collapsed="false">
      <c r="A2" s="28" t="s">
        <v>251</v>
      </c>
      <c r="B2" s="29" t="s">
        <v>79</v>
      </c>
      <c r="C2" s="70" t="s">
        <v>80</v>
      </c>
      <c r="D2" s="30" t="s">
        <v>84</v>
      </c>
      <c r="E2" s="30" t="s">
        <v>85</v>
      </c>
      <c r="F2" s="30" t="s">
        <v>86</v>
      </c>
      <c r="G2" s="30" t="s">
        <v>87</v>
      </c>
      <c r="H2" s="30" t="s">
        <v>88</v>
      </c>
      <c r="I2" s="30" t="s">
        <v>23</v>
      </c>
      <c r="J2" s="30" t="s">
        <v>25</v>
      </c>
      <c r="K2" s="29" t="s">
        <v>27</v>
      </c>
      <c r="L2" s="29" t="s">
        <v>89</v>
      </c>
      <c r="M2" s="29" t="s">
        <v>90</v>
      </c>
      <c r="N2" s="30" t="s">
        <v>91</v>
      </c>
      <c r="O2" s="29" t="s">
        <v>33</v>
      </c>
      <c r="P2" s="29" t="s">
        <v>36</v>
      </c>
      <c r="Q2" s="29" t="s">
        <v>92</v>
      </c>
      <c r="R2" s="29" t="s">
        <v>93</v>
      </c>
      <c r="S2" s="29" t="s">
        <v>94</v>
      </c>
      <c r="T2" s="29" t="s">
        <v>95</v>
      </c>
      <c r="U2" s="29" t="s">
        <v>96</v>
      </c>
      <c r="V2" s="29" t="s">
        <v>97</v>
      </c>
      <c r="W2" s="29" t="s">
        <v>98</v>
      </c>
    </row>
    <row r="3" customFormat="false" ht="15.75" hidden="false" customHeight="false" outlineLevel="0" collapsed="false">
      <c r="B3" s="125" t="s">
        <v>252</v>
      </c>
      <c r="C3" s="126" t="s">
        <v>253</v>
      </c>
      <c r="D3" s="78" t="n">
        <f aca="false">1430/M3</f>
        <v>7.15</v>
      </c>
      <c r="E3" s="134" t="n">
        <v>0.01</v>
      </c>
      <c r="F3" s="55" t="n">
        <f aca="false">51.5913119456578/600</f>
        <v>0.0859855199094297</v>
      </c>
      <c r="G3" s="55" t="n">
        <f aca="false">2176.32372439649/600</f>
        <v>3.62720620732748</v>
      </c>
      <c r="H3" s="129" t="n">
        <v>1</v>
      </c>
      <c r="I3" s="35" t="n">
        <f aca="false">RANDBETWEEN(1,40)/100</f>
        <v>0.34</v>
      </c>
      <c r="J3" s="35" t="n">
        <f aca="false">RANDBETWEEN(1,100)/100</f>
        <v>0.03</v>
      </c>
      <c r="K3" s="98" t="n">
        <v>20</v>
      </c>
      <c r="L3" s="78" t="n">
        <v>20</v>
      </c>
      <c r="M3" s="78" t="n">
        <v>200</v>
      </c>
      <c r="N3" s="78" t="n">
        <v>600</v>
      </c>
      <c r="O3" s="127" t="n">
        <v>0.6</v>
      </c>
      <c r="P3" s="127" t="n">
        <v>0</v>
      </c>
      <c r="Q3" s="130" t="n">
        <v>0</v>
      </c>
      <c r="R3" s="131" t="n">
        <v>999</v>
      </c>
      <c r="S3" s="132" t="n">
        <v>0</v>
      </c>
      <c r="T3" s="130" t="n">
        <v>0</v>
      </c>
      <c r="U3" s="130" t="n">
        <v>0</v>
      </c>
      <c r="V3" s="135" t="n">
        <v>0.005</v>
      </c>
      <c r="W3" s="71" t="s">
        <v>102</v>
      </c>
    </row>
    <row r="4" customFormat="false" ht="15.75" hidden="false" customHeight="false" outlineLevel="0" collapsed="false">
      <c r="B4" s="125" t="s">
        <v>252</v>
      </c>
      <c r="C4" s="126" t="s">
        <v>254</v>
      </c>
      <c r="D4" s="78" t="n">
        <f aca="false">2190/M4</f>
        <v>2.19</v>
      </c>
      <c r="E4" s="134" t="n">
        <v>0.01</v>
      </c>
      <c r="F4" s="55" t="n">
        <f aca="false">10.1233836342693/600</f>
        <v>0.0168723060571155</v>
      </c>
      <c r="G4" s="55" t="n">
        <f aca="false">745.168308433149/600</f>
        <v>1.24194718072192</v>
      </c>
      <c r="H4" s="129" t="n">
        <v>1</v>
      </c>
      <c r="I4" s="35" t="n">
        <f aca="false">RANDBETWEEN(1,40)/100</f>
        <v>0.17</v>
      </c>
      <c r="J4" s="35" t="n">
        <f aca="false">RANDBETWEEN(1,100)/100</f>
        <v>0.47</v>
      </c>
      <c r="K4" s="98" t="n">
        <v>20</v>
      </c>
      <c r="L4" s="78" t="n">
        <v>20</v>
      </c>
      <c r="M4" s="78" t="n">
        <v>1000</v>
      </c>
      <c r="N4" s="78" t="n">
        <v>600</v>
      </c>
      <c r="O4" s="127" t="n">
        <v>0.6</v>
      </c>
      <c r="P4" s="136" t="n">
        <v>0.2</v>
      </c>
      <c r="Q4" s="130" t="n">
        <v>0</v>
      </c>
      <c r="R4" s="131" t="n">
        <v>999</v>
      </c>
      <c r="S4" s="132" t="n">
        <v>0</v>
      </c>
      <c r="T4" s="130" t="n">
        <v>0</v>
      </c>
      <c r="U4" s="130" t="n">
        <v>0</v>
      </c>
      <c r="V4" s="137" t="n">
        <v>0.005</v>
      </c>
      <c r="W4" s="71" t="s">
        <v>102</v>
      </c>
    </row>
    <row r="5" customFormat="false" ht="15.75" hidden="false" customHeight="false" outlineLevel="0" collapsed="false">
      <c r="B5" s="125" t="s">
        <v>252</v>
      </c>
      <c r="C5" s="126" t="s">
        <v>255</v>
      </c>
      <c r="D5" s="78" t="n">
        <f aca="false">1340/M5</f>
        <v>1.34</v>
      </c>
      <c r="E5" s="134" t="n">
        <v>0.01</v>
      </c>
      <c r="F5" s="55" t="n">
        <f aca="false">6.22060540543163/600</f>
        <v>0.0103676756757194</v>
      </c>
      <c r="G5" s="55" t="n">
        <f aca="false">596.041889719973/600</f>
        <v>0.993403149533288</v>
      </c>
      <c r="H5" s="129" t="n">
        <v>1</v>
      </c>
      <c r="I5" s="35" t="n">
        <f aca="false">RANDBETWEEN(1,40)/100</f>
        <v>0.14</v>
      </c>
      <c r="J5" s="35" t="n">
        <f aca="false">RANDBETWEEN(1,100)/100</f>
        <v>0.51</v>
      </c>
      <c r="K5" s="98" t="n">
        <v>20</v>
      </c>
      <c r="L5" s="78" t="n">
        <v>20</v>
      </c>
      <c r="M5" s="78" t="n">
        <v>1000</v>
      </c>
      <c r="N5" s="78" t="n">
        <v>600</v>
      </c>
      <c r="O5" s="127" t="n">
        <v>0.6</v>
      </c>
      <c r="P5" s="127" t="n">
        <v>0</v>
      </c>
      <c r="Q5" s="130" t="n">
        <v>0</v>
      </c>
      <c r="R5" s="131" t="n">
        <v>999</v>
      </c>
      <c r="S5" s="132" t="n">
        <v>0</v>
      </c>
      <c r="T5" s="130" t="n">
        <v>0</v>
      </c>
      <c r="U5" s="130" t="n">
        <v>0</v>
      </c>
      <c r="V5" s="137" t="n">
        <v>0.005</v>
      </c>
      <c r="W5" s="71" t="s">
        <v>102</v>
      </c>
    </row>
    <row r="6" customFormat="false" ht="15.75" hidden="false" customHeight="false" outlineLevel="0" collapsed="false">
      <c r="B6" s="125" t="s">
        <v>252</v>
      </c>
      <c r="C6" s="126" t="s">
        <v>256</v>
      </c>
      <c r="D6" s="78" t="n">
        <f aca="false">3876/M6</f>
        <v>27.6857142857143</v>
      </c>
      <c r="E6" s="134" t="n">
        <v>0.0077</v>
      </c>
      <c r="F6" s="82" t="n">
        <f aca="false">58.99*0.0036</f>
        <v>0.212364</v>
      </c>
      <c r="G6" s="82" t="n">
        <v>4.03</v>
      </c>
      <c r="H6" s="129" t="n">
        <v>1</v>
      </c>
      <c r="I6" s="35" t="n">
        <f aca="false">RANDBETWEEN(1,40)/100</f>
        <v>0.21</v>
      </c>
      <c r="J6" s="35" t="n">
        <f aca="false">RANDBETWEEN(1,100)/100</f>
        <v>1</v>
      </c>
      <c r="K6" s="98" t="n">
        <v>20</v>
      </c>
      <c r="L6" s="78" t="n">
        <v>20</v>
      </c>
      <c r="M6" s="78" t="n">
        <v>140</v>
      </c>
      <c r="N6" s="78" t="n">
        <v>1</v>
      </c>
      <c r="O6" s="78" t="n">
        <v>0</v>
      </c>
      <c r="P6" s="78" t="n">
        <v>0</v>
      </c>
      <c r="Q6" s="130" t="n">
        <v>0</v>
      </c>
      <c r="R6" s="131" t="n">
        <v>999</v>
      </c>
      <c r="S6" s="132" t="n">
        <v>0</v>
      </c>
      <c r="T6" s="130" t="n">
        <v>0</v>
      </c>
      <c r="U6" s="130" t="n">
        <v>0</v>
      </c>
      <c r="V6" s="137" t="n">
        <v>0.005</v>
      </c>
      <c r="W6" s="71" t="s">
        <v>102</v>
      </c>
    </row>
    <row r="7" customFormat="false" ht="15.75" hidden="false" customHeight="false" outlineLevel="0" collapsed="false">
      <c r="B7" s="125" t="s">
        <v>252</v>
      </c>
      <c r="C7" s="126" t="s">
        <v>257</v>
      </c>
      <c r="D7" s="78" t="n">
        <f aca="false">2116/M7</f>
        <v>14.1066666666667</v>
      </c>
      <c r="E7" s="134" t="n">
        <v>0.014</v>
      </c>
      <c r="F7" s="82" t="n">
        <f aca="false">33.08*0.0036</f>
        <v>0.119088</v>
      </c>
      <c r="G7" s="82" t="n">
        <v>2.38</v>
      </c>
      <c r="H7" s="129" t="n">
        <v>1</v>
      </c>
      <c r="I7" s="35" t="n">
        <f aca="false">RANDBETWEEN(1,40)/100</f>
        <v>0.3</v>
      </c>
      <c r="J7" s="35" t="n">
        <f aca="false">RANDBETWEEN(1,100)/100</f>
        <v>0.59</v>
      </c>
      <c r="K7" s="98" t="n">
        <v>20</v>
      </c>
      <c r="L7" s="78" t="n">
        <v>20</v>
      </c>
      <c r="M7" s="78" t="n">
        <v>150</v>
      </c>
      <c r="N7" s="78" t="n">
        <v>150</v>
      </c>
      <c r="O7" s="78" t="n">
        <v>0</v>
      </c>
      <c r="P7" s="78" t="n">
        <v>0</v>
      </c>
      <c r="Q7" s="130" t="n">
        <v>0</v>
      </c>
      <c r="R7" s="131" t="n">
        <v>999</v>
      </c>
      <c r="S7" s="132" t="n">
        <v>0</v>
      </c>
      <c r="T7" s="130" t="n">
        <v>0</v>
      </c>
      <c r="U7" s="130" t="n">
        <v>0</v>
      </c>
      <c r="V7" s="137" t="n">
        <v>0.005</v>
      </c>
      <c r="W7" s="71" t="s">
        <v>102</v>
      </c>
    </row>
    <row r="8" customFormat="false" ht="15.75" hidden="false" customHeight="false" outlineLevel="0" collapsed="false">
      <c r="B8" s="125"/>
      <c r="C8" s="126"/>
      <c r="D8" s="98"/>
      <c r="E8" s="133"/>
      <c r="F8" s="98"/>
      <c r="G8" s="98"/>
      <c r="H8" s="98"/>
      <c r="I8" s="35"/>
      <c r="J8" s="35"/>
      <c r="K8" s="98"/>
      <c r="L8" s="98"/>
      <c r="M8" s="98"/>
      <c r="N8" s="98"/>
      <c r="O8" s="98"/>
      <c r="P8" s="98"/>
      <c r="Q8" s="130"/>
      <c r="R8" s="71"/>
      <c r="S8" s="130"/>
      <c r="T8" s="130"/>
      <c r="U8" s="130"/>
      <c r="V8" s="130"/>
      <c r="W8" s="71"/>
    </row>
    <row r="9" customFormat="false" ht="15" hidden="false" customHeight="false" outlineLevel="0" collapsed="false">
      <c r="B9" s="125"/>
      <c r="C9" s="126"/>
      <c r="D9" s="98"/>
      <c r="E9" s="133"/>
      <c r="F9" s="98"/>
      <c r="G9" s="98"/>
      <c r="H9" s="98"/>
      <c r="I9" s="98"/>
      <c r="J9" s="98"/>
      <c r="K9" s="98"/>
      <c r="L9" s="98"/>
      <c r="M9" s="98"/>
      <c r="N9" s="98"/>
      <c r="O9" s="98"/>
      <c r="P9" s="98"/>
      <c r="Q9" s="130"/>
      <c r="R9" s="71"/>
      <c r="S9" s="130"/>
      <c r="T9" s="130"/>
      <c r="U9" s="130"/>
      <c r="V9" s="130"/>
      <c r="W9" s="130"/>
    </row>
    <row r="10" customFormat="false" ht="15" hidden="false" customHeight="false" outlineLevel="0" collapsed="false">
      <c r="B10" s="125"/>
      <c r="C10" s="126"/>
      <c r="D10" s="98"/>
      <c r="E10" s="133"/>
      <c r="F10" s="98"/>
      <c r="G10" s="98"/>
      <c r="H10" s="98"/>
      <c r="I10" s="98"/>
      <c r="J10" s="98"/>
      <c r="K10" s="98"/>
      <c r="L10" s="98"/>
      <c r="M10" s="98"/>
      <c r="N10" s="98"/>
      <c r="O10" s="98"/>
      <c r="P10" s="98"/>
      <c r="Q10" s="130"/>
      <c r="R10" s="71"/>
      <c r="S10" s="130"/>
      <c r="T10" s="130"/>
      <c r="U10" s="130"/>
      <c r="V10" s="130"/>
      <c r="W10" s="130"/>
    </row>
    <row r="11" customFormat="false" ht="15" hidden="false" customHeight="false" outlineLevel="0" collapsed="false">
      <c r="B11" s="125"/>
      <c r="C11" s="126"/>
      <c r="D11" s="98"/>
      <c r="E11" s="133"/>
      <c r="F11" s="98"/>
      <c r="G11" s="98"/>
      <c r="H11" s="98"/>
      <c r="I11" s="35"/>
      <c r="J11" s="35"/>
      <c r="K11" s="98"/>
      <c r="L11" s="98"/>
      <c r="M11" s="98"/>
      <c r="N11" s="98"/>
      <c r="O11" s="98"/>
      <c r="P11" s="98"/>
      <c r="Q11" s="130"/>
      <c r="R11" s="71"/>
      <c r="S11" s="130"/>
      <c r="T11" s="130"/>
      <c r="U11" s="130"/>
      <c r="V11" s="130"/>
      <c r="W11" s="71"/>
    </row>
    <row r="12" customFormat="false" ht="15" hidden="false" customHeight="false" outlineLevel="0" collapsed="false">
      <c r="B12" s="125"/>
      <c r="C12" s="126"/>
      <c r="D12" s="98"/>
      <c r="E12" s="133"/>
      <c r="F12" s="98"/>
      <c r="G12" s="98"/>
      <c r="H12" s="98"/>
      <c r="I12" s="98"/>
      <c r="J12" s="98"/>
      <c r="K12" s="98"/>
      <c r="L12" s="98"/>
      <c r="M12" s="98"/>
      <c r="N12" s="98"/>
      <c r="O12" s="98"/>
      <c r="P12" s="98"/>
      <c r="Q12" s="130"/>
      <c r="R12" s="71"/>
      <c r="S12" s="130"/>
      <c r="T12" s="130"/>
      <c r="U12" s="130"/>
      <c r="V12" s="130"/>
      <c r="W12" s="130"/>
    </row>
    <row r="13" customFormat="false" ht="15" hidden="false" customHeight="false" outlineLevel="0" collapsed="false">
      <c r="B13" s="125"/>
      <c r="C13" s="126"/>
      <c r="D13" s="98"/>
      <c r="E13" s="133"/>
      <c r="F13" s="98"/>
      <c r="G13" s="98"/>
      <c r="H13" s="98"/>
      <c r="I13" s="98"/>
      <c r="J13" s="98"/>
      <c r="K13" s="98"/>
      <c r="L13" s="98"/>
      <c r="M13" s="98"/>
      <c r="N13" s="98"/>
      <c r="O13" s="98"/>
      <c r="P13" s="98"/>
      <c r="Q13" s="130"/>
      <c r="R13" s="71"/>
      <c r="S13" s="130"/>
      <c r="T13" s="130"/>
      <c r="U13" s="130"/>
      <c r="V13" s="130"/>
      <c r="W13" s="130"/>
    </row>
    <row r="14" customFormat="false" ht="15" hidden="false" customHeight="false" outlineLevel="0" collapsed="false">
      <c r="B14" s="125"/>
      <c r="C14" s="126"/>
      <c r="D14" s="98"/>
      <c r="E14" s="133"/>
      <c r="F14" s="98"/>
      <c r="G14" s="98"/>
      <c r="H14" s="98"/>
      <c r="I14" s="98"/>
      <c r="J14" s="98"/>
      <c r="K14" s="98"/>
      <c r="L14" s="98"/>
      <c r="M14" s="98"/>
      <c r="N14" s="98"/>
      <c r="O14" s="98"/>
      <c r="P14" s="98"/>
      <c r="Q14" s="130"/>
      <c r="R14" s="71"/>
      <c r="S14" s="130"/>
      <c r="T14" s="130"/>
      <c r="U14" s="130"/>
      <c r="V14" s="130"/>
      <c r="W14" s="130"/>
    </row>
    <row r="15" customFormat="false" ht="15" hidden="false" customHeight="false" outlineLevel="0" collapsed="false">
      <c r="B15" s="125"/>
      <c r="C15" s="126"/>
      <c r="D15" s="98"/>
      <c r="E15" s="133"/>
      <c r="F15" s="98"/>
      <c r="G15" s="98"/>
      <c r="H15" s="98"/>
      <c r="I15" s="98"/>
      <c r="J15" s="98"/>
      <c r="K15" s="98"/>
      <c r="L15" s="98"/>
      <c r="M15" s="98"/>
      <c r="N15" s="98"/>
      <c r="O15" s="98"/>
      <c r="P15" s="98"/>
      <c r="Q15" s="130"/>
      <c r="R15" s="71"/>
      <c r="S15" s="130"/>
      <c r="T15" s="130"/>
      <c r="U15" s="130"/>
      <c r="V15" s="130"/>
      <c r="W15" s="130"/>
    </row>
    <row r="16" customFormat="false" ht="15" hidden="false" customHeight="false" outlineLevel="0" collapsed="false">
      <c r="B16" s="125"/>
      <c r="C16" s="126"/>
      <c r="D16" s="98"/>
      <c r="E16" s="133"/>
      <c r="F16" s="98"/>
      <c r="G16" s="98"/>
      <c r="H16" s="98"/>
      <c r="I16" s="98"/>
      <c r="J16" s="98"/>
      <c r="K16" s="98"/>
      <c r="L16" s="98"/>
      <c r="M16" s="98"/>
      <c r="N16" s="98"/>
      <c r="O16" s="98"/>
      <c r="P16" s="98"/>
      <c r="Q16" s="130"/>
      <c r="R16" s="71"/>
      <c r="S16" s="130"/>
      <c r="T16" s="130"/>
      <c r="U16" s="130"/>
      <c r="V16" s="130"/>
      <c r="W16" s="130"/>
    </row>
    <row r="17" customFormat="false" ht="15" hidden="false" customHeight="false" outlineLevel="0" collapsed="false">
      <c r="B17" s="125"/>
      <c r="C17" s="126"/>
      <c r="D17" s="98"/>
      <c r="E17" s="133"/>
      <c r="F17" s="98"/>
      <c r="G17" s="98"/>
      <c r="H17" s="98"/>
      <c r="I17" s="98"/>
      <c r="J17" s="98"/>
      <c r="K17" s="98"/>
      <c r="L17" s="98"/>
      <c r="M17" s="98"/>
      <c r="N17" s="98"/>
      <c r="O17" s="98"/>
      <c r="P17" s="98"/>
      <c r="Q17" s="130"/>
      <c r="R17" s="71"/>
      <c r="S17" s="130"/>
      <c r="T17" s="130"/>
      <c r="U17" s="130"/>
      <c r="V17" s="130"/>
      <c r="W17" s="130"/>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G43"/>
  <sheetViews>
    <sheetView showFormulas="false" showGridLines="true" showRowColHeaders="true" showZeros="true" rightToLeft="false" tabSelected="false" showOutlineSymbols="true" defaultGridColor="true" view="normal" topLeftCell="A25" colorId="64" zoomScale="130" zoomScaleNormal="130" zoomScalePageLayoutView="100" workbookViewId="0">
      <selection pane="topLeft" activeCell="C16" activeCellId="0" sqref="C16"/>
    </sheetView>
  </sheetViews>
  <sheetFormatPr defaultColWidth="8.5078125" defaultRowHeight="15" zeroHeight="false" outlineLevelRow="0" outlineLevelCol="0"/>
  <cols>
    <col collapsed="false" customWidth="true" hidden="false" outlineLevel="0" max="2" min="1" style="0" width="12.66"/>
    <col collapsed="false" customWidth="true" hidden="false" outlineLevel="0" max="3" min="3" style="0" width="17.5"/>
    <col collapsed="false" customWidth="true" hidden="false" outlineLevel="0" max="4" min="4" style="0" width="15.66"/>
    <col collapsed="false" customWidth="true" hidden="false" outlineLevel="0" max="5" min="5" style="0" width="20.67"/>
    <col collapsed="false" customWidth="true" hidden="false" outlineLevel="0" max="6" min="6" style="0" width="15.33"/>
    <col collapsed="false" customWidth="true" hidden="false" outlineLevel="0" max="8" min="8" style="0" width="15"/>
    <col collapsed="false" customWidth="true" hidden="false" outlineLevel="0" max="10" min="9" style="0" width="17.33"/>
    <col collapsed="false" customWidth="true" hidden="false" outlineLevel="0" max="12" min="11" style="0" width="17.67"/>
    <col collapsed="false" customWidth="true" hidden="false" outlineLevel="0" max="13" min="13" style="0" width="17.33"/>
    <col collapsed="false" customWidth="true" hidden="false" outlineLevel="0" max="14" min="14" style="0" width="11.51"/>
    <col collapsed="false" customWidth="true" hidden="false" outlineLevel="0" max="15" min="15" style="0" width="12.66"/>
    <col collapsed="false" customWidth="true" hidden="false" outlineLevel="0" max="27" min="27" style="0" width="12.66"/>
    <col collapsed="false" customWidth="true" hidden="false" outlineLevel="0" max="28" min="28" style="0" width="12.51"/>
    <col collapsed="false" customWidth="true" hidden="false" outlineLevel="0" max="29" min="29" style="0" width="16.5"/>
    <col collapsed="false" customWidth="true" hidden="false" outlineLevel="0" max="30" min="30" style="0" width="12.66"/>
    <col collapsed="false" customWidth="true" hidden="false" outlineLevel="0" max="31" min="31" style="0" width="18.33"/>
    <col collapsed="false" customWidth="true" hidden="false" outlineLevel="0" max="32" min="32" style="0" width="12.51"/>
  </cols>
  <sheetData>
    <row r="1" customFormat="false" ht="15" hidden="false" customHeight="false" outlineLevel="0" collapsed="false">
      <c r="A1" s="138" t="s">
        <v>258</v>
      </c>
      <c r="B1" s="138"/>
      <c r="C1" s="138"/>
      <c r="D1" s="138"/>
      <c r="E1" s="138"/>
      <c r="F1" s="138"/>
      <c r="G1" s="138"/>
      <c r="I1" s="138" t="s">
        <v>259</v>
      </c>
      <c r="J1" s="138"/>
      <c r="K1" s="138"/>
      <c r="L1" s="138"/>
      <c r="M1" s="138"/>
      <c r="N1" s="138"/>
      <c r="O1" s="138"/>
      <c r="R1" s="138" t="s">
        <v>260</v>
      </c>
      <c r="S1" s="138"/>
      <c r="T1" s="138"/>
      <c r="U1" s="138"/>
      <c r="V1" s="138"/>
      <c r="W1" s="138"/>
      <c r="X1" s="138"/>
      <c r="AA1" s="138" t="s">
        <v>261</v>
      </c>
      <c r="AB1" s="138"/>
      <c r="AC1" s="138"/>
      <c r="AD1" s="138"/>
      <c r="AE1" s="138"/>
      <c r="AF1" s="138"/>
      <c r="AG1" s="138"/>
    </row>
    <row r="2" customFormat="false" ht="15" hidden="false" customHeight="false" outlineLevel="0" collapsed="false">
      <c r="A2" s="0" t="s">
        <v>262</v>
      </c>
      <c r="B2" s="0" t="s">
        <v>263</v>
      </c>
      <c r="C2" s="0" t="s">
        <v>264</v>
      </c>
      <c r="D2" s="0" t="s">
        <v>265</v>
      </c>
      <c r="E2" s="0" t="s">
        <v>266</v>
      </c>
      <c r="F2" s="0" t="s">
        <v>267</v>
      </c>
      <c r="G2" s="0" t="s">
        <v>30</v>
      </c>
      <c r="I2" s="0" t="s">
        <v>268</v>
      </c>
      <c r="J2" s="0" t="s">
        <v>263</v>
      </c>
      <c r="K2" s="0" t="s">
        <v>264</v>
      </c>
      <c r="L2" s="0" t="s">
        <v>265</v>
      </c>
      <c r="M2" s="0" t="s">
        <v>266</v>
      </c>
      <c r="N2" s="0" t="s">
        <v>267</v>
      </c>
      <c r="O2" s="0" t="s">
        <v>30</v>
      </c>
      <c r="R2" s="0" t="s">
        <v>268</v>
      </c>
      <c r="S2" s="0" t="s">
        <v>263</v>
      </c>
      <c r="T2" s="0" t="s">
        <v>264</v>
      </c>
      <c r="U2" s="0" t="s">
        <v>265</v>
      </c>
      <c r="V2" s="0" t="s">
        <v>266</v>
      </c>
      <c r="W2" s="0" t="s">
        <v>267</v>
      </c>
      <c r="X2" s="0" t="s">
        <v>30</v>
      </c>
      <c r="AA2" s="0" t="s">
        <v>262</v>
      </c>
      <c r="AB2" s="0" t="s">
        <v>263</v>
      </c>
      <c r="AC2" s="0" t="s">
        <v>264</v>
      </c>
      <c r="AD2" s="0" t="s">
        <v>265</v>
      </c>
      <c r="AE2" s="0" t="s">
        <v>266</v>
      </c>
      <c r="AF2" s="0" t="s">
        <v>267</v>
      </c>
      <c r="AG2" s="0" t="s">
        <v>30</v>
      </c>
    </row>
    <row r="3" customFormat="false" ht="15" hidden="false" customHeight="false" outlineLevel="0" collapsed="false">
      <c r="A3" s="0" t="n">
        <v>6</v>
      </c>
      <c r="B3" s="0" t="n">
        <f aca="false">$G$3/A3</f>
        <v>1</v>
      </c>
      <c r="C3" s="0" t="n">
        <v>9590</v>
      </c>
      <c r="D3" s="0" t="n">
        <f aca="false">C3/A3</f>
        <v>1598.33333333333</v>
      </c>
      <c r="E3" s="0" t="n">
        <v>135</v>
      </c>
      <c r="F3" s="0" t="n">
        <f aca="false">E3/A3</f>
        <v>22.5</v>
      </c>
      <c r="G3" s="0" t="n">
        <v>6</v>
      </c>
      <c r="I3" s="0" t="n">
        <v>2.5</v>
      </c>
      <c r="J3" s="0" t="n">
        <f aca="false">$O$3/I3</f>
        <v>1</v>
      </c>
      <c r="K3" s="0" t="n">
        <v>405</v>
      </c>
      <c r="L3" s="0" t="n">
        <f aca="false">K3/I3</f>
        <v>162</v>
      </c>
      <c r="M3" s="0" t="n">
        <v>6.35</v>
      </c>
      <c r="N3" s="0" t="n">
        <f aca="false">M3/I3</f>
        <v>2.54</v>
      </c>
      <c r="O3" s="0" t="n">
        <v>2.5</v>
      </c>
      <c r="R3" s="0" t="n">
        <v>1</v>
      </c>
      <c r="S3" s="0" t="n">
        <f aca="false">$X$3/R3</f>
        <v>1</v>
      </c>
      <c r="T3" s="0" t="n">
        <v>241.9</v>
      </c>
      <c r="U3" s="0" t="n">
        <f aca="false">T3/R3</f>
        <v>241.9</v>
      </c>
      <c r="V3" s="0" t="n">
        <v>388</v>
      </c>
      <c r="W3" s="0" t="n">
        <f aca="false">V3/R3</f>
        <v>388</v>
      </c>
      <c r="X3" s="0" t="n">
        <v>1</v>
      </c>
      <c r="AA3" s="0" t="n">
        <v>1</v>
      </c>
      <c r="AB3" s="0" t="n">
        <f aca="false">$AG$3/AA3</f>
        <v>1</v>
      </c>
      <c r="AC3" s="139" t="n">
        <f aca="false">283*1000/196</f>
        <v>1443.87755102041</v>
      </c>
      <c r="AD3" s="0" t="n">
        <f aca="false">AC3/AA3</f>
        <v>1443.87755102041</v>
      </c>
      <c r="AE3" s="140" t="n">
        <f aca="false">(5800/1000)/0.196</f>
        <v>29.5918367346939</v>
      </c>
      <c r="AF3" s="0" t="n">
        <f aca="false">AE3/AA3</f>
        <v>29.5918367346939</v>
      </c>
      <c r="AG3" s="0" t="n">
        <v>1</v>
      </c>
    </row>
    <row r="4" customFormat="false" ht="15" hidden="false" customHeight="false" outlineLevel="0" collapsed="false">
      <c r="A4" s="0" t="n">
        <v>100</v>
      </c>
      <c r="B4" s="0" t="n">
        <f aca="false">$G$3/A4</f>
        <v>0.06</v>
      </c>
      <c r="C4" s="0" t="n">
        <v>80600</v>
      </c>
      <c r="D4" s="0" t="n">
        <f aca="false">C4/A4</f>
        <v>806</v>
      </c>
      <c r="E4" s="0" t="n">
        <v>990</v>
      </c>
      <c r="F4" s="0" t="n">
        <f aca="false">E4/A4</f>
        <v>9.9</v>
      </c>
      <c r="I4" s="0" t="n">
        <v>29.81</v>
      </c>
      <c r="J4" s="0" t="n">
        <f aca="false">$O$3/I4</f>
        <v>0.0838644750083865</v>
      </c>
      <c r="K4" s="0" t="n">
        <v>756</v>
      </c>
      <c r="L4" s="0" t="n">
        <f aca="false">K4/I4</f>
        <v>25.3606172425361</v>
      </c>
      <c r="M4" s="0" t="n">
        <v>9.57</v>
      </c>
      <c r="N4" s="0" t="n">
        <f aca="false">M4/I4</f>
        <v>0.321033210332103</v>
      </c>
      <c r="R4" s="0" t="n">
        <v>24</v>
      </c>
      <c r="S4" s="0" t="n">
        <f aca="false">$X$3/R4</f>
        <v>0.0416666666666667</v>
      </c>
      <c r="T4" s="0" t="n">
        <v>1814</v>
      </c>
      <c r="U4" s="0" t="n">
        <f aca="false">T4/R4</f>
        <v>75.5833333333333</v>
      </c>
      <c r="V4" s="0" t="n">
        <v>25500</v>
      </c>
      <c r="W4" s="0" t="n">
        <f aca="false">V4/R4</f>
        <v>1062.5</v>
      </c>
      <c r="AA4" s="0" t="n">
        <v>3</v>
      </c>
      <c r="AB4" s="0" t="n">
        <f aca="false">$AG$3/AA4</f>
        <v>0.333333333333333</v>
      </c>
      <c r="AC4" s="0" t="n">
        <v>5880</v>
      </c>
      <c r="AD4" s="0" t="n">
        <f aca="false">AC4/AA4</f>
        <v>1960</v>
      </c>
      <c r="AE4" s="0" t="n">
        <v>88.7</v>
      </c>
      <c r="AF4" s="0" t="n">
        <f aca="false">AE4/AA4</f>
        <v>29.5666666666667</v>
      </c>
    </row>
    <row r="5" customFormat="false" ht="15" hidden="false" customHeight="false" outlineLevel="0" collapsed="false">
      <c r="A5" s="0" t="n">
        <v>750</v>
      </c>
      <c r="B5" s="0" t="n">
        <f aca="false">$G$3/A5</f>
        <v>0.008</v>
      </c>
      <c r="C5" s="0" t="n">
        <v>484000</v>
      </c>
      <c r="D5" s="0" t="n">
        <f aca="false">C5/A5</f>
        <v>645.333333333333</v>
      </c>
      <c r="E5" s="0" t="n">
        <v>8220</v>
      </c>
      <c r="F5" s="0" t="n">
        <f aca="false">E5/A5</f>
        <v>10.96</v>
      </c>
      <c r="L5" s="0" t="s">
        <v>269</v>
      </c>
      <c r="N5" s="0" t="s">
        <v>270</v>
      </c>
      <c r="U5" s="0" t="s">
        <v>271</v>
      </c>
      <c r="W5" s="0" t="s">
        <v>270</v>
      </c>
      <c r="AA5" s="0" t="n">
        <v>570</v>
      </c>
      <c r="AB5" s="0" t="n">
        <f aca="false">$AG$3/AA5</f>
        <v>0.00175438596491228</v>
      </c>
      <c r="AC5" s="0" t="n">
        <v>1180000</v>
      </c>
      <c r="AD5" s="0" t="n">
        <f aca="false">AC5/AA5</f>
        <v>2070.17543859649</v>
      </c>
      <c r="AE5" s="0" t="n">
        <v>16900</v>
      </c>
      <c r="AF5" s="0" t="n">
        <f aca="false">AE5/AA5</f>
        <v>29.6491228070175</v>
      </c>
    </row>
    <row r="6" customFormat="false" ht="15" hidden="false" customHeight="false" outlineLevel="0" collapsed="false">
      <c r="A6" s="0" t="n">
        <v>1500</v>
      </c>
      <c r="B6" s="0" t="n">
        <f aca="false">$G$3/A6</f>
        <v>0.004</v>
      </c>
      <c r="C6" s="0" t="n">
        <v>675000</v>
      </c>
      <c r="D6" s="0" t="n">
        <f aca="false">C6/A6</f>
        <v>450</v>
      </c>
      <c r="E6" s="0" t="n">
        <v>8320</v>
      </c>
      <c r="F6" s="0" t="n">
        <f aca="false">E6/A6</f>
        <v>5.54666666666667</v>
      </c>
      <c r="AD6" s="0" t="s">
        <v>272</v>
      </c>
      <c r="AF6" s="0" t="s">
        <v>273</v>
      </c>
    </row>
    <row r="7" customFormat="false" ht="15" hidden="false" customHeight="false" outlineLevel="0" collapsed="false">
      <c r="A7" s="0" t="n">
        <v>2000</v>
      </c>
      <c r="B7" s="0" t="n">
        <f aca="false">$G$3/A7</f>
        <v>0.003</v>
      </c>
      <c r="C7" s="0" t="n">
        <v>620000</v>
      </c>
      <c r="D7" s="0" t="n">
        <f aca="false">C7/A7</f>
        <v>310</v>
      </c>
      <c r="E7" s="0" t="n">
        <v>8130</v>
      </c>
      <c r="F7" s="0" t="n">
        <f aca="false">E7/A7</f>
        <v>4.065</v>
      </c>
    </row>
    <row r="8" customFormat="false" ht="15" hidden="false" customHeight="false" outlineLevel="0" collapsed="false">
      <c r="A8" s="0" t="n">
        <v>2000</v>
      </c>
      <c r="B8" s="0" t="n">
        <f aca="false">$G$3/A8</f>
        <v>0.003</v>
      </c>
      <c r="C8" s="0" t="n">
        <v>808000</v>
      </c>
      <c r="D8" s="0" t="n">
        <f aca="false">C8/A8</f>
        <v>404</v>
      </c>
      <c r="E8" s="0" t="n">
        <v>11400</v>
      </c>
      <c r="F8" s="0" t="n">
        <f aca="false">E8/A8</f>
        <v>5.7</v>
      </c>
    </row>
    <row r="9" customFormat="false" ht="15" hidden="false" customHeight="false" outlineLevel="0" collapsed="false">
      <c r="A9" s="0" t="n">
        <v>2000</v>
      </c>
      <c r="B9" s="0" t="n">
        <f aca="false">$G$3/A9</f>
        <v>0.003</v>
      </c>
      <c r="C9" s="0" t="n">
        <v>1080000</v>
      </c>
      <c r="D9" s="0" t="n">
        <f aca="false">C9/A9</f>
        <v>540</v>
      </c>
      <c r="E9" s="0" t="n">
        <v>16500</v>
      </c>
      <c r="F9" s="0" t="n">
        <f aca="false">E9/A9</f>
        <v>8.25</v>
      </c>
    </row>
    <row r="10" customFormat="false" ht="15" hidden="false" customHeight="false" outlineLevel="0" collapsed="false">
      <c r="A10" s="0" t="n">
        <v>2300</v>
      </c>
      <c r="B10" s="0" t="n">
        <f aca="false">$G$3/A10</f>
        <v>0.00260869565217391</v>
      </c>
      <c r="C10" s="0" t="n">
        <v>1080000</v>
      </c>
      <c r="D10" s="0" t="n">
        <f aca="false">C10/A10</f>
        <v>469.565217391304</v>
      </c>
      <c r="E10" s="0" t="n">
        <v>16200</v>
      </c>
      <c r="F10" s="0" t="n">
        <f aca="false">E10/A10</f>
        <v>7.04347826086957</v>
      </c>
    </row>
    <row r="11" customFormat="false" ht="15" hidden="false" customHeight="false" outlineLevel="0" collapsed="false">
      <c r="A11" s="0" t="n">
        <v>3000</v>
      </c>
      <c r="B11" s="0" t="n">
        <f aca="false">$G$3/A11</f>
        <v>0.002</v>
      </c>
      <c r="C11" s="0" t="n">
        <v>1090000</v>
      </c>
      <c r="D11" s="0" t="n">
        <f aca="false">C11/A11</f>
        <v>363.333333333333</v>
      </c>
      <c r="E11" s="0" t="n">
        <v>16100</v>
      </c>
      <c r="F11" s="0" t="n">
        <f aca="false">E11/A11</f>
        <v>5.36666666666667</v>
      </c>
    </row>
    <row r="12" customFormat="false" ht="15" hidden="false" customHeight="false" outlineLevel="0" collapsed="false">
      <c r="A12" s="0" t="n">
        <v>4500</v>
      </c>
      <c r="B12" s="0" t="n">
        <f aca="false">$G$3/A12</f>
        <v>0.00133333333333333</v>
      </c>
      <c r="C12" s="0" t="n">
        <v>3620000</v>
      </c>
      <c r="D12" s="0" t="n">
        <f aca="false">C12/A12</f>
        <v>804.444444444444</v>
      </c>
      <c r="E12" s="0" t="n">
        <v>49700</v>
      </c>
      <c r="F12" s="0" t="n">
        <f aca="false">E12/A12</f>
        <v>11.0444444444444</v>
      </c>
    </row>
    <row r="15" customFormat="false" ht="15" hidden="false" customHeight="false" outlineLevel="0" collapsed="false">
      <c r="A15" s="0" t="s">
        <v>263</v>
      </c>
      <c r="B15" s="0" t="s">
        <v>265</v>
      </c>
      <c r="C15" s="0" t="s">
        <v>267</v>
      </c>
    </row>
    <row r="16" customFormat="false" ht="15" hidden="false" customHeight="false" outlineLevel="0" collapsed="false">
      <c r="A16" s="0" t="n">
        <v>1</v>
      </c>
      <c r="B16" s="0" t="n">
        <v>1598.33333333333</v>
      </c>
      <c r="C16" s="0" t="n">
        <v>22.5</v>
      </c>
    </row>
    <row r="17" customFormat="false" ht="15" hidden="false" customHeight="false" outlineLevel="0" collapsed="false">
      <c r="A17" s="0" t="n">
        <v>0.06</v>
      </c>
      <c r="B17" s="0" t="n">
        <v>806</v>
      </c>
      <c r="C17" s="0" t="n">
        <v>9.9</v>
      </c>
    </row>
    <row r="18" customFormat="false" ht="15" hidden="false" customHeight="false" outlineLevel="0" collapsed="false">
      <c r="A18" s="0" t="n">
        <v>0.008</v>
      </c>
      <c r="B18" s="0" t="n">
        <v>645.333333333333</v>
      </c>
      <c r="C18" s="0" t="n">
        <v>10.96</v>
      </c>
    </row>
    <row r="19" customFormat="false" ht="15" hidden="false" customHeight="false" outlineLevel="0" collapsed="false">
      <c r="A19" s="0" t="n">
        <v>0.004</v>
      </c>
      <c r="B19" s="0" t="n">
        <v>450</v>
      </c>
      <c r="C19" s="0" t="n">
        <v>5.54666666666667</v>
      </c>
    </row>
    <row r="20" customFormat="false" ht="15" hidden="false" customHeight="false" outlineLevel="0" collapsed="false">
      <c r="A20" s="0" t="n">
        <v>0.003</v>
      </c>
      <c r="B20" s="0" t="n">
        <v>310</v>
      </c>
      <c r="C20" s="0" t="n">
        <v>4.065</v>
      </c>
    </row>
    <row r="21" customFormat="false" ht="15" hidden="false" customHeight="false" outlineLevel="0" collapsed="false">
      <c r="A21" s="0" t="n">
        <v>0.00260869565217391</v>
      </c>
      <c r="B21" s="0" t="n">
        <v>469.565217391304</v>
      </c>
      <c r="C21" s="0" t="n">
        <v>7.04347826086957</v>
      </c>
    </row>
    <row r="22" customFormat="false" ht="15" hidden="false" customHeight="false" outlineLevel="0" collapsed="false">
      <c r="A22" s="0" t="n">
        <v>0.002</v>
      </c>
      <c r="B22" s="0" t="n">
        <v>363.333333333333</v>
      </c>
      <c r="C22" s="0" t="n">
        <v>5.36666666666667</v>
      </c>
    </row>
    <row r="23" customFormat="false" ht="15" hidden="false" customHeight="false" outlineLevel="0" collapsed="false">
      <c r="A23" s="0" t="n">
        <v>0.00133333333333333</v>
      </c>
      <c r="B23" s="0" t="n">
        <v>804.444444444445</v>
      </c>
      <c r="C23" s="0" t="n">
        <v>11.0444444444444</v>
      </c>
    </row>
    <row r="24" customFormat="false" ht="15" hidden="false" customHeight="false" outlineLevel="0" collapsed="false">
      <c r="B24" s="0" t="s">
        <v>274</v>
      </c>
      <c r="C24" s="0" t="s">
        <v>275</v>
      </c>
    </row>
    <row r="37" customFormat="false" ht="15" hidden="false" customHeight="false" outlineLevel="0" collapsed="false">
      <c r="A37" s="0" t="n">
        <v>1</v>
      </c>
      <c r="B37" s="0" t="n">
        <v>806</v>
      </c>
      <c r="C37" s="0" t="n">
        <v>9.9</v>
      </c>
    </row>
    <row r="38" customFormat="false" ht="15" hidden="false" customHeight="false" outlineLevel="0" collapsed="false">
      <c r="A38" s="0" t="n">
        <v>0.133333333333333</v>
      </c>
      <c r="B38" s="0" t="n">
        <v>645.333333333333</v>
      </c>
      <c r="C38" s="0" t="n">
        <v>10.96</v>
      </c>
    </row>
    <row r="39" customFormat="false" ht="15" hidden="false" customHeight="false" outlineLevel="0" collapsed="false">
      <c r="A39" s="0" t="n">
        <v>0.0666666666666667</v>
      </c>
      <c r="B39" s="0" t="n">
        <v>450</v>
      </c>
      <c r="C39" s="0" t="n">
        <v>5.54666666666667</v>
      </c>
    </row>
    <row r="40" customFormat="false" ht="15" hidden="false" customHeight="false" outlineLevel="0" collapsed="false">
      <c r="A40" s="0" t="n">
        <v>0.05</v>
      </c>
      <c r="B40" s="0" t="n">
        <v>310</v>
      </c>
      <c r="C40" s="0" t="n">
        <v>4.065</v>
      </c>
    </row>
    <row r="41" customFormat="false" ht="15" hidden="false" customHeight="false" outlineLevel="0" collapsed="false">
      <c r="A41" s="0" t="n">
        <v>0.0434782608695652</v>
      </c>
      <c r="B41" s="0" t="n">
        <v>469.565217391304</v>
      </c>
      <c r="C41" s="0" t="n">
        <v>7.04347826086957</v>
      </c>
    </row>
    <row r="42" customFormat="false" ht="15" hidden="false" customHeight="false" outlineLevel="0" collapsed="false">
      <c r="A42" s="0" t="n">
        <v>0.0333333333333333</v>
      </c>
      <c r="B42" s="0" t="n">
        <v>363.333333333333</v>
      </c>
      <c r="C42" s="0" t="n">
        <v>5.36666666666667</v>
      </c>
    </row>
    <row r="43" customFormat="false" ht="15" hidden="false" customHeight="false" outlineLevel="0" collapsed="false">
      <c r="A43" s="0" t="n">
        <v>0.0222222222222222</v>
      </c>
      <c r="B43" s="0" t="n">
        <v>804.444444444445</v>
      </c>
      <c r="C43" s="0" t="n">
        <v>11.0444444444444</v>
      </c>
    </row>
  </sheetData>
  <mergeCells count="4">
    <mergeCell ref="A1:G1"/>
    <mergeCell ref="I1:O1"/>
    <mergeCell ref="R1:X1"/>
    <mergeCell ref="AA1:AG1"/>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49"/>
  <sheetViews>
    <sheetView showFormulas="false" showGridLines="true" showRowColHeaders="true" showZeros="true" rightToLeft="false" tabSelected="false" showOutlineSymbols="true" defaultGridColor="true" view="normal" topLeftCell="A39" colorId="64" zoomScale="125" zoomScaleNormal="125" zoomScalePageLayoutView="100" workbookViewId="0">
      <selection pane="topLeft" activeCell="G28" activeCellId="0" sqref="G28"/>
    </sheetView>
  </sheetViews>
  <sheetFormatPr defaultColWidth="8.5078125" defaultRowHeight="15" zeroHeight="false" outlineLevelRow="0" outlineLevelCol="0"/>
  <cols>
    <col collapsed="false" customWidth="true" hidden="false" outlineLevel="0" max="2" min="2" style="0" width="16.83"/>
    <col collapsed="false" customWidth="true" hidden="false" outlineLevel="0" max="3" min="3" style="0" width="30.33"/>
    <col collapsed="false" customWidth="true" hidden="false" outlineLevel="0" max="5" min="4" style="0" width="17.33"/>
    <col collapsed="false" customWidth="true" hidden="false" outlineLevel="0" max="6" min="6" style="0" width="30.5"/>
    <col collapsed="false" customWidth="true" hidden="false" outlineLevel="0" max="7" min="7" style="0" width="13.33"/>
    <col collapsed="false" customWidth="true" hidden="false" outlineLevel="0" max="8" min="8" style="0" width="16.33"/>
    <col collapsed="false" customWidth="true" hidden="false" outlineLevel="0" max="9" min="9" style="0" width="13.33"/>
    <col collapsed="false" customWidth="true" hidden="false" outlineLevel="0" max="13" min="10" style="0" width="14.66"/>
    <col collapsed="false" customWidth="true" hidden="false" outlineLevel="0" max="14" min="14" style="0" width="15.33"/>
    <col collapsed="false" customWidth="true" hidden="false" outlineLevel="0" max="17" min="17" style="0" width="10.66"/>
    <col collapsed="false" customWidth="true" hidden="false" outlineLevel="0" max="19" min="18" style="0" width="15.33"/>
    <col collapsed="false" customWidth="true" hidden="false" outlineLevel="0" max="20" min="20" style="0" width="15"/>
    <col collapsed="false" customWidth="true" hidden="false" outlineLevel="0" max="21" min="21" style="0" width="19.67"/>
    <col collapsed="false" customWidth="true" hidden="false" outlineLevel="0" max="22" min="22" style="0" width="19"/>
    <col collapsed="false" customWidth="true" hidden="false" outlineLevel="0" max="23" min="23" style="0" width="17.67"/>
    <col collapsed="false" customWidth="true" hidden="false" outlineLevel="0" max="24" min="24" style="0" width="14.5"/>
    <col collapsed="false" customWidth="true" hidden="false" outlineLevel="0" max="25" min="25" style="0" width="30.33"/>
    <col collapsed="false" customWidth="true" hidden="false" outlineLevel="0" max="26" min="26" style="0" width="13.51"/>
  </cols>
  <sheetData>
    <row r="1" customFormat="false" ht="15" hidden="false" customHeight="false" outlineLevel="0" collapsed="false">
      <c r="A1" s="26" t="s">
        <v>31</v>
      </c>
      <c r="N1" s="0" t="s">
        <v>75</v>
      </c>
    </row>
    <row r="2" s="27" customFormat="true" ht="31.5" hidden="false" customHeight="false" outlineLevel="0" collapsed="false">
      <c r="A2" s="28" t="s">
        <v>78</v>
      </c>
      <c r="B2" s="29" t="s">
        <v>79</v>
      </c>
      <c r="C2" s="29" t="s">
        <v>80</v>
      </c>
      <c r="D2" s="29" t="s">
        <v>276</v>
      </c>
      <c r="E2" s="29" t="s">
        <v>277</v>
      </c>
      <c r="F2" s="141" t="s">
        <v>278</v>
      </c>
      <c r="G2" s="30" t="s">
        <v>84</v>
      </c>
      <c r="H2" s="30" t="s">
        <v>85</v>
      </c>
      <c r="I2" s="30" t="s">
        <v>86</v>
      </c>
      <c r="J2" s="30" t="s">
        <v>87</v>
      </c>
      <c r="K2" s="30" t="s">
        <v>88</v>
      </c>
      <c r="L2" s="30" t="s">
        <v>23</v>
      </c>
      <c r="M2" s="30" t="s">
        <v>25</v>
      </c>
      <c r="N2" s="29" t="s">
        <v>27</v>
      </c>
      <c r="O2" s="29" t="s">
        <v>89</v>
      </c>
      <c r="P2" s="29" t="s">
        <v>90</v>
      </c>
      <c r="Q2" s="29" t="s">
        <v>91</v>
      </c>
      <c r="R2" s="29" t="s">
        <v>33</v>
      </c>
      <c r="S2" s="29" t="s">
        <v>36</v>
      </c>
      <c r="T2" s="29" t="s">
        <v>92</v>
      </c>
      <c r="U2" s="29" t="s">
        <v>93</v>
      </c>
      <c r="V2" s="29" t="s">
        <v>94</v>
      </c>
      <c r="W2" s="29" t="s">
        <v>95</v>
      </c>
      <c r="X2" s="29" t="s">
        <v>96</v>
      </c>
      <c r="Y2" s="29" t="s">
        <v>97</v>
      </c>
      <c r="Z2" s="29" t="s">
        <v>98</v>
      </c>
    </row>
    <row r="3" customFormat="false" ht="15" hidden="false" customHeight="false" outlineLevel="0" collapsed="false">
      <c r="B3" s="5" t="s">
        <v>279</v>
      </c>
      <c r="C3" s="5" t="s">
        <v>280</v>
      </c>
      <c r="D3" s="5" t="s">
        <v>281</v>
      </c>
      <c r="E3" s="35" t="n">
        <v>1</v>
      </c>
      <c r="F3" s="142" t="n">
        <v>0</v>
      </c>
      <c r="G3" s="32" t="n">
        <v>826</v>
      </c>
      <c r="H3" s="37" t="n">
        <v>0.01</v>
      </c>
      <c r="I3" s="140" t="n">
        <f aca="false">(4780/1000)/0.196</f>
        <v>24.3877551020408</v>
      </c>
      <c r="J3" s="139" t="n">
        <f aca="false">346*1000/196</f>
        <v>1765.30612244898</v>
      </c>
      <c r="K3" s="34" t="n">
        <v>1</v>
      </c>
      <c r="L3" s="35" t="n">
        <f aca="false">RANDBETWEEN(1,40)/100</f>
        <v>0.18</v>
      </c>
      <c r="M3" s="35" t="n">
        <f aca="false">RANDBETWEEN(1,100)/100</f>
        <v>0.95</v>
      </c>
      <c r="N3" s="5" t="n">
        <v>30</v>
      </c>
      <c r="O3" s="40" t="n">
        <v>25</v>
      </c>
      <c r="P3" s="32" t="n">
        <v>1</v>
      </c>
      <c r="Q3" s="32" t="n">
        <v>1</v>
      </c>
      <c r="R3" s="32" t="n">
        <v>0</v>
      </c>
      <c r="S3" s="32" t="n">
        <v>0</v>
      </c>
      <c r="T3" s="35" t="n">
        <v>0.15</v>
      </c>
      <c r="U3" s="40" t="n">
        <v>15</v>
      </c>
      <c r="V3" s="33" t="n">
        <v>0.12</v>
      </c>
      <c r="W3" s="35" t="n">
        <v>0.06</v>
      </c>
      <c r="X3" s="35" t="n">
        <v>0.03</v>
      </c>
      <c r="Y3" s="33" t="n">
        <v>0.005</v>
      </c>
      <c r="Z3" s="5" t="s">
        <v>102</v>
      </c>
    </row>
    <row r="4" customFormat="false" ht="15" hidden="false" customHeight="false" outlineLevel="0" collapsed="false">
      <c r="B4" s="5" t="s">
        <v>279</v>
      </c>
      <c r="C4" s="5" t="s">
        <v>282</v>
      </c>
      <c r="D4" s="5" t="s">
        <v>281</v>
      </c>
      <c r="E4" s="35" t="n">
        <v>1</v>
      </c>
      <c r="F4" s="142" t="n">
        <v>0</v>
      </c>
      <c r="G4" s="40" t="n">
        <v>960</v>
      </c>
      <c r="H4" s="143" t="n">
        <v>0.01</v>
      </c>
      <c r="I4" s="144" t="n">
        <f aca="false">71.6/Q4</f>
        <v>23.8666666666667</v>
      </c>
      <c r="J4" s="145" t="n">
        <f aca="false">4770/Q4</f>
        <v>1590</v>
      </c>
      <c r="K4" s="34" t="n">
        <v>1</v>
      </c>
      <c r="L4" s="35" t="n">
        <f aca="false">RANDBETWEEN(1,40)/100</f>
        <v>0.3</v>
      </c>
      <c r="M4" s="35" t="n">
        <f aca="false">RANDBETWEEN(1,100)/100</f>
        <v>0.01</v>
      </c>
      <c r="N4" s="5" t="n">
        <v>20</v>
      </c>
      <c r="O4" s="40" t="n">
        <v>25</v>
      </c>
      <c r="P4" s="40" t="n">
        <v>1</v>
      </c>
      <c r="Q4" s="39" t="n">
        <v>3</v>
      </c>
      <c r="R4" s="32" t="n">
        <v>0</v>
      </c>
      <c r="S4" s="32" t="n">
        <v>0</v>
      </c>
      <c r="T4" s="35" t="n">
        <v>0.15</v>
      </c>
      <c r="U4" s="40" t="n">
        <v>15</v>
      </c>
      <c r="V4" s="33" t="n">
        <v>0.12</v>
      </c>
      <c r="W4" s="35" t="n">
        <v>0.06</v>
      </c>
      <c r="X4" s="35" t="n">
        <v>0.03</v>
      </c>
      <c r="Y4" s="33" t="n">
        <v>0.005</v>
      </c>
      <c r="Z4" s="5" t="s">
        <v>102</v>
      </c>
    </row>
    <row r="5" customFormat="false" ht="15" hidden="false" customHeight="false" outlineLevel="0" collapsed="false">
      <c r="B5" s="5" t="s">
        <v>279</v>
      </c>
      <c r="C5" s="5" t="s">
        <v>283</v>
      </c>
      <c r="D5" s="5" t="s">
        <v>281</v>
      </c>
      <c r="E5" s="35" t="n">
        <v>1</v>
      </c>
      <c r="F5" s="142" t="n">
        <v>0</v>
      </c>
      <c r="G5" s="32" t="n">
        <v>1127.45</v>
      </c>
      <c r="H5" s="146" t="n">
        <v>0.0142</v>
      </c>
      <c r="I5" s="144" t="n">
        <f aca="false">122/Q5</f>
        <v>40.6666666666667</v>
      </c>
      <c r="J5" s="145" t="n">
        <f aca="false">7640/Q5</f>
        <v>2546.66666666667</v>
      </c>
      <c r="K5" s="34" t="n">
        <v>1</v>
      </c>
      <c r="L5" s="35" t="n">
        <f aca="false">RANDBETWEEN(1,40)/100</f>
        <v>0.07</v>
      </c>
      <c r="M5" s="35" t="n">
        <f aca="false">RANDBETWEEN(1,100)/100</f>
        <v>0.4</v>
      </c>
      <c r="N5" s="5" t="n">
        <v>20</v>
      </c>
      <c r="O5" s="32" t="n">
        <v>30</v>
      </c>
      <c r="P5" s="40" t="n">
        <v>1</v>
      </c>
      <c r="Q5" s="39" t="n">
        <v>3</v>
      </c>
      <c r="R5" s="32" t="n">
        <v>0</v>
      </c>
      <c r="S5" s="32" t="n">
        <v>0</v>
      </c>
      <c r="T5" s="35" t="n">
        <v>0.15</v>
      </c>
      <c r="U5" s="40" t="n">
        <v>15</v>
      </c>
      <c r="V5" s="33" t="n">
        <v>0.12</v>
      </c>
      <c r="W5" s="35" t="n">
        <v>0.06</v>
      </c>
      <c r="X5" s="35" t="n">
        <v>0.03</v>
      </c>
      <c r="Y5" s="33" t="n">
        <v>0.005</v>
      </c>
      <c r="Z5" s="5" t="s">
        <v>102</v>
      </c>
    </row>
    <row r="6" customFormat="false" ht="15" hidden="false" customHeight="false" outlineLevel="0" collapsed="false">
      <c r="B6" s="5" t="s">
        <v>279</v>
      </c>
      <c r="C6" s="5" t="s">
        <v>284</v>
      </c>
      <c r="D6" s="5" t="s">
        <v>281</v>
      </c>
      <c r="E6" s="35" t="n">
        <v>1</v>
      </c>
      <c r="F6" s="142" t="n">
        <v>0</v>
      </c>
      <c r="G6" s="147" t="n">
        <v>3400</v>
      </c>
      <c r="H6" s="148" t="n">
        <v>0.005</v>
      </c>
      <c r="I6" s="149" t="n">
        <f aca="false">111617*0.0036</f>
        <v>401.8212</v>
      </c>
      <c r="J6" s="150" t="n">
        <v>7131.5</v>
      </c>
      <c r="K6" s="34" t="n">
        <v>1</v>
      </c>
      <c r="L6" s="35" t="n">
        <f aca="false">RANDBETWEEN(1,40)/100</f>
        <v>0.09</v>
      </c>
      <c r="M6" s="35" t="n">
        <f aca="false">RANDBETWEEN(1,100)/100</f>
        <v>0.17</v>
      </c>
      <c r="N6" s="5" t="n">
        <v>21</v>
      </c>
      <c r="O6" s="39" t="n">
        <v>20</v>
      </c>
      <c r="P6" s="40" t="n">
        <v>1</v>
      </c>
      <c r="Q6" s="32" t="n">
        <v>1</v>
      </c>
      <c r="R6" s="32" t="n">
        <v>0</v>
      </c>
      <c r="S6" s="32" t="n">
        <v>0</v>
      </c>
      <c r="T6" s="35" t="n">
        <v>0.15</v>
      </c>
      <c r="U6" s="40" t="n">
        <v>15</v>
      </c>
      <c r="V6" s="33" t="n">
        <v>0.12</v>
      </c>
      <c r="W6" s="35" t="n">
        <v>0.06</v>
      </c>
      <c r="X6" s="35" t="n">
        <v>0.03</v>
      </c>
      <c r="Y6" s="33" t="n">
        <v>0.005</v>
      </c>
      <c r="Z6" s="5" t="s">
        <v>102</v>
      </c>
    </row>
    <row r="7" customFormat="false" ht="15.75" hidden="false" customHeight="false" outlineLevel="0" collapsed="false">
      <c r="B7" s="5" t="s">
        <v>279</v>
      </c>
      <c r="C7" s="5" t="s">
        <v>285</v>
      </c>
      <c r="D7" s="5" t="s">
        <v>281</v>
      </c>
      <c r="E7" s="35" t="n">
        <v>1</v>
      </c>
      <c r="F7" s="142" t="n">
        <v>0</v>
      </c>
      <c r="G7" s="40" t="n">
        <v>3200</v>
      </c>
      <c r="H7" s="143" t="n">
        <v>0.005</v>
      </c>
      <c r="I7" s="39" t="n">
        <f aca="false">97.1/Q7</f>
        <v>32.3666666666667</v>
      </c>
      <c r="J7" s="39" t="n">
        <f aca="false">6590/Q7</f>
        <v>2196.66666666667</v>
      </c>
      <c r="K7" s="34" t="n">
        <v>1</v>
      </c>
      <c r="L7" s="35" t="n">
        <f aca="false">RANDBETWEEN(1,40)/100</f>
        <v>0.28</v>
      </c>
      <c r="M7" s="35" t="n">
        <f aca="false">RANDBETWEEN(1,100)/100</f>
        <v>0.73</v>
      </c>
      <c r="N7" s="5" t="n">
        <v>22</v>
      </c>
      <c r="O7" s="39" t="n">
        <v>20</v>
      </c>
      <c r="P7" s="40" t="n">
        <v>1</v>
      </c>
      <c r="Q7" s="39" t="n">
        <v>3</v>
      </c>
      <c r="R7" s="32" t="n">
        <v>0</v>
      </c>
      <c r="S7" s="32" t="n">
        <v>0</v>
      </c>
      <c r="T7" s="35" t="n">
        <v>0.15</v>
      </c>
      <c r="U7" s="40" t="n">
        <v>15</v>
      </c>
      <c r="V7" s="33" t="n">
        <v>0.12</v>
      </c>
      <c r="W7" s="35" t="n">
        <v>0.06</v>
      </c>
      <c r="X7" s="35" t="n">
        <v>0.03</v>
      </c>
      <c r="Y7" s="33" t="n">
        <v>0.005</v>
      </c>
      <c r="Z7" s="5" t="s">
        <v>102</v>
      </c>
    </row>
    <row r="8" customFormat="false" ht="15.75" hidden="false" customHeight="false" outlineLevel="0" collapsed="false">
      <c r="B8" s="5" t="s">
        <v>279</v>
      </c>
      <c r="C8" s="5" t="s">
        <v>286</v>
      </c>
      <c r="D8" s="5" t="s">
        <v>281</v>
      </c>
      <c r="E8" s="35" t="n">
        <v>1</v>
      </c>
      <c r="F8" s="142" t="n">
        <v>0</v>
      </c>
      <c r="G8" s="151" t="n">
        <v>2005.102041</v>
      </c>
      <c r="H8" s="152" t="n">
        <v>0.005</v>
      </c>
      <c r="I8" s="153" t="n">
        <f aca="false">112/Q8</f>
        <v>37.3333333333333</v>
      </c>
      <c r="J8" s="154" t="n">
        <f aca="false">7130/Q8</f>
        <v>2376.66666666667</v>
      </c>
      <c r="K8" s="34" t="n">
        <v>1</v>
      </c>
      <c r="L8" s="35" t="n">
        <f aca="false">RANDBETWEEN(1,40)/100</f>
        <v>0.2</v>
      </c>
      <c r="M8" s="35" t="n">
        <f aca="false">RANDBETWEEN(1,100)/100</f>
        <v>0.32</v>
      </c>
      <c r="N8" s="5" t="n">
        <v>19</v>
      </c>
      <c r="O8" s="32" t="n">
        <f aca="false">(30+50)/2</f>
        <v>40</v>
      </c>
      <c r="P8" s="40" t="n">
        <v>1</v>
      </c>
      <c r="Q8" s="39" t="n">
        <v>3</v>
      </c>
      <c r="R8" s="32" t="n">
        <v>0</v>
      </c>
      <c r="S8" s="40" t="n">
        <v>0</v>
      </c>
      <c r="T8" s="35" t="n">
        <v>0.15</v>
      </c>
      <c r="U8" s="40" t="n">
        <v>15</v>
      </c>
      <c r="V8" s="33" t="n">
        <v>0.12</v>
      </c>
      <c r="W8" s="35" t="n">
        <v>0.06</v>
      </c>
      <c r="X8" s="35" t="n">
        <v>0.03</v>
      </c>
      <c r="Y8" s="37" t="n">
        <v>0.005</v>
      </c>
      <c r="Z8" s="5" t="s">
        <v>102</v>
      </c>
    </row>
    <row r="9" customFormat="false" ht="15.75" hidden="false" customHeight="false" outlineLevel="0" collapsed="false">
      <c r="B9" s="5" t="s">
        <v>279</v>
      </c>
      <c r="C9" s="5" t="s">
        <v>287</v>
      </c>
      <c r="D9" s="5" t="s">
        <v>281</v>
      </c>
      <c r="E9" s="35" t="n">
        <v>1</v>
      </c>
      <c r="F9" s="142" t="n">
        <v>0</v>
      </c>
      <c r="G9" s="40" t="n">
        <v>3200</v>
      </c>
      <c r="H9" s="143" t="n">
        <v>0.005</v>
      </c>
      <c r="I9" s="153" t="n">
        <f aca="false">112/Q9</f>
        <v>37.3333333333333</v>
      </c>
      <c r="J9" s="153" t="n">
        <f aca="false">7130/Q9</f>
        <v>2376.66666666667</v>
      </c>
      <c r="K9" s="34" t="n">
        <v>1</v>
      </c>
      <c r="L9" s="35" t="n">
        <f aca="false">RANDBETWEEN(1,40)/100</f>
        <v>0.32</v>
      </c>
      <c r="M9" s="35" t="n">
        <f aca="false">RANDBETWEEN(1,100)/100</f>
        <v>0.8</v>
      </c>
      <c r="N9" s="5" t="n">
        <v>20</v>
      </c>
      <c r="O9" s="32" t="n">
        <f aca="false">(30+50)/2</f>
        <v>40</v>
      </c>
      <c r="P9" s="40" t="n">
        <v>1</v>
      </c>
      <c r="Q9" s="39" t="n">
        <v>3</v>
      </c>
      <c r="R9" s="32" t="n">
        <v>0</v>
      </c>
      <c r="S9" s="40" t="n">
        <v>0</v>
      </c>
      <c r="T9" s="35" t="n">
        <v>0.15</v>
      </c>
      <c r="U9" s="40" t="n">
        <v>15</v>
      </c>
      <c r="V9" s="33" t="n">
        <v>0.12</v>
      </c>
      <c r="W9" s="35" t="n">
        <v>0.06</v>
      </c>
      <c r="X9" s="35" t="n">
        <v>0.03</v>
      </c>
      <c r="Y9" s="37" t="n">
        <v>0.005</v>
      </c>
      <c r="Z9" s="5" t="s">
        <v>102</v>
      </c>
    </row>
    <row r="10" customFormat="false" ht="15.75" hidden="false" customHeight="false" outlineLevel="0" collapsed="false">
      <c r="B10" s="151" t="s">
        <v>279</v>
      </c>
      <c r="C10" s="111" t="s">
        <v>288</v>
      </c>
      <c r="D10" s="111" t="s">
        <v>281</v>
      </c>
      <c r="E10" s="108" t="n">
        <v>0.88</v>
      </c>
      <c r="F10" s="155" t="n">
        <v>0</v>
      </c>
      <c r="G10" s="111" t="n">
        <v>4625</v>
      </c>
      <c r="H10" s="108" t="n">
        <v>0.0023</v>
      </c>
      <c r="I10" s="156" t="n">
        <v>23.46</v>
      </c>
      <c r="J10" s="157" t="n">
        <v>1668</v>
      </c>
      <c r="K10" s="151" t="n">
        <v>473</v>
      </c>
      <c r="L10" s="108" t="n">
        <v>0.25</v>
      </c>
      <c r="M10" s="108" t="n">
        <v>0.9</v>
      </c>
      <c r="N10" s="111" t="n">
        <v>30</v>
      </c>
      <c r="O10" s="111" t="n">
        <v>25</v>
      </c>
      <c r="P10" s="111" t="n">
        <v>0.35</v>
      </c>
      <c r="Q10" s="111" t="n">
        <v>0.35</v>
      </c>
      <c r="R10" s="111" t="n">
        <v>0</v>
      </c>
      <c r="S10" s="111" t="n">
        <v>0</v>
      </c>
      <c r="T10" s="108" t="n">
        <v>0.15</v>
      </c>
      <c r="U10" s="111" t="n">
        <v>15</v>
      </c>
      <c r="V10" s="108" t="n">
        <v>0.12</v>
      </c>
      <c r="W10" s="108" t="n">
        <v>0.06</v>
      </c>
      <c r="X10" s="108" t="n">
        <v>0.05</v>
      </c>
      <c r="Y10" s="108" t="n">
        <v>0.005</v>
      </c>
      <c r="Z10" s="111" t="s">
        <v>102</v>
      </c>
    </row>
    <row r="11" customFormat="false" ht="15.75" hidden="false" customHeight="false" outlineLevel="0" collapsed="false">
      <c r="B11" s="5" t="s">
        <v>279</v>
      </c>
      <c r="C11" s="5" t="s">
        <v>289</v>
      </c>
      <c r="D11" s="5" t="s">
        <v>281</v>
      </c>
      <c r="E11" s="35" t="n">
        <v>1</v>
      </c>
      <c r="F11" s="142" t="n">
        <v>0</v>
      </c>
      <c r="G11" s="32" t="n">
        <f aca="false">450/P11</f>
        <v>7894.73684210526</v>
      </c>
      <c r="H11" s="146" t="n">
        <v>0.01</v>
      </c>
      <c r="I11" s="158" t="n">
        <f aca="false">51677*0.0036</f>
        <v>186.0372</v>
      </c>
      <c r="J11" s="159" t="n">
        <f aca="false">3763</f>
        <v>3763</v>
      </c>
      <c r="K11" s="34" t="n">
        <v>1</v>
      </c>
      <c r="L11" s="35" t="n">
        <f aca="false">RANDBETWEEN(1,40)/100</f>
        <v>0.18</v>
      </c>
      <c r="M11" s="35" t="n">
        <f aca="false">RANDBETWEEN(1,100)/100</f>
        <v>0.56</v>
      </c>
      <c r="N11" s="5" t="n">
        <v>21</v>
      </c>
      <c r="O11" s="40" t="n">
        <v>30</v>
      </c>
      <c r="P11" s="40" t="n">
        <v>0.057</v>
      </c>
      <c r="Q11" s="40" t="n">
        <v>1</v>
      </c>
      <c r="R11" s="40" t="n">
        <v>0</v>
      </c>
      <c r="S11" s="40" t="n">
        <v>0</v>
      </c>
      <c r="T11" s="35" t="n">
        <v>0.15</v>
      </c>
      <c r="U11" s="40" t="n">
        <v>15</v>
      </c>
      <c r="V11" s="33" t="n">
        <v>0.12</v>
      </c>
      <c r="W11" s="35" t="n">
        <v>0.06</v>
      </c>
      <c r="X11" s="35" t="n">
        <v>0.03</v>
      </c>
      <c r="Y11" s="33" t="n">
        <v>0.005</v>
      </c>
      <c r="Z11" s="5" t="s">
        <v>102</v>
      </c>
    </row>
    <row r="12" customFormat="false" ht="15.75" hidden="false" customHeight="false" outlineLevel="0" collapsed="false">
      <c r="B12" s="5" t="s">
        <v>279</v>
      </c>
      <c r="C12" s="5" t="s">
        <v>290</v>
      </c>
      <c r="D12" s="5" t="s">
        <v>281</v>
      </c>
      <c r="E12" s="35" t="n">
        <v>1</v>
      </c>
      <c r="F12" s="142" t="n">
        <v>0</v>
      </c>
      <c r="G12" s="32" t="n">
        <v>112</v>
      </c>
      <c r="H12" s="35" t="n">
        <v>0.005</v>
      </c>
      <c r="I12" s="160" t="n">
        <f aca="false">4970*0.0036*0.133*0.1</f>
        <v>0.2379636</v>
      </c>
      <c r="J12" s="150" t="n">
        <f aca="false">370*0.1</f>
        <v>37</v>
      </c>
      <c r="K12" s="34" t="n">
        <v>1</v>
      </c>
      <c r="L12" s="35" t="n">
        <f aca="false">RANDBETWEEN(1,40)/100</f>
        <v>0.25</v>
      </c>
      <c r="M12" s="35" t="n">
        <f aca="false">RANDBETWEEN(1,100)/100</f>
        <v>0.2</v>
      </c>
      <c r="N12" s="5" t="n">
        <v>30</v>
      </c>
      <c r="O12" s="39" t="n">
        <v>20</v>
      </c>
      <c r="P12" s="5" t="n">
        <v>1</v>
      </c>
      <c r="Q12" s="5" t="n">
        <v>1</v>
      </c>
      <c r="R12" s="5" t="n">
        <v>0</v>
      </c>
      <c r="S12" s="5" t="n">
        <v>0</v>
      </c>
      <c r="T12" s="35" t="n">
        <v>0.15</v>
      </c>
      <c r="U12" s="40" t="n">
        <v>15</v>
      </c>
      <c r="V12" s="33" t="n">
        <v>0.12</v>
      </c>
      <c r="W12" s="35" t="n">
        <v>0.06</v>
      </c>
      <c r="X12" s="35" t="n">
        <v>0.03</v>
      </c>
      <c r="Y12" s="35" t="n">
        <v>0.005</v>
      </c>
      <c r="Z12" s="5" t="s">
        <v>102</v>
      </c>
    </row>
    <row r="13" customFormat="false" ht="15.75" hidden="false" customHeight="false" outlineLevel="0" collapsed="false">
      <c r="B13" s="5" t="s">
        <v>279</v>
      </c>
      <c r="C13" s="5" t="s">
        <v>291</v>
      </c>
      <c r="D13" s="5" t="s">
        <v>281</v>
      </c>
      <c r="E13" s="35" t="n">
        <v>1</v>
      </c>
      <c r="F13" s="142" t="n">
        <v>0</v>
      </c>
      <c r="G13" s="32" t="n">
        <v>158</v>
      </c>
      <c r="H13" s="35" t="n">
        <v>0.005</v>
      </c>
      <c r="I13" s="160" t="n">
        <f aca="false">4970*0.0036*0.133*0.2</f>
        <v>0.4759272</v>
      </c>
      <c r="J13" s="150" t="n">
        <f aca="false">370*0.2</f>
        <v>74</v>
      </c>
      <c r="K13" s="34" t="n">
        <v>1</v>
      </c>
      <c r="L13" s="35" t="n">
        <f aca="false">RANDBETWEEN(1,40)/100</f>
        <v>0.34</v>
      </c>
      <c r="M13" s="35" t="n">
        <f aca="false">RANDBETWEEN(1,100)/100</f>
        <v>0.22</v>
      </c>
      <c r="N13" s="5" t="n">
        <v>20</v>
      </c>
      <c r="O13" s="39" t="n">
        <v>20</v>
      </c>
      <c r="P13" s="5" t="n">
        <v>1</v>
      </c>
      <c r="Q13" s="5" t="n">
        <v>1</v>
      </c>
      <c r="R13" s="5" t="n">
        <v>0</v>
      </c>
      <c r="S13" s="5" t="n">
        <v>0</v>
      </c>
      <c r="T13" s="35" t="n">
        <v>0.15</v>
      </c>
      <c r="U13" s="40" t="n">
        <v>15</v>
      </c>
      <c r="V13" s="33" t="n">
        <v>0.12</v>
      </c>
      <c r="W13" s="35" t="n">
        <v>0.06</v>
      </c>
      <c r="X13" s="35" t="n">
        <v>0.03</v>
      </c>
      <c r="Y13" s="35" t="n">
        <v>0.005</v>
      </c>
      <c r="Z13" s="5" t="s">
        <v>102</v>
      </c>
    </row>
    <row r="14" customFormat="false" ht="15.75" hidden="false" customHeight="false" outlineLevel="0" collapsed="false">
      <c r="B14" s="5" t="s">
        <v>279</v>
      </c>
      <c r="C14" s="5" t="s">
        <v>292</v>
      </c>
      <c r="D14" s="5" t="s">
        <v>281</v>
      </c>
      <c r="E14" s="35" t="n">
        <v>1</v>
      </c>
      <c r="F14" s="142" t="n">
        <v>0</v>
      </c>
      <c r="G14" s="32" t="n">
        <v>203</v>
      </c>
      <c r="H14" s="35" t="n">
        <v>0.005</v>
      </c>
      <c r="I14" s="160" t="n">
        <f aca="false">4970*0.0036*0.133*0.3</f>
        <v>0.7138908</v>
      </c>
      <c r="J14" s="150" t="n">
        <f aca="false">370*0.3</f>
        <v>111</v>
      </c>
      <c r="K14" s="34" t="n">
        <v>1</v>
      </c>
      <c r="L14" s="35" t="n">
        <f aca="false">RANDBETWEEN(1,40)/100</f>
        <v>0.36</v>
      </c>
      <c r="M14" s="35" t="n">
        <f aca="false">RANDBETWEEN(1,100)/100</f>
        <v>0.57</v>
      </c>
      <c r="N14" s="5" t="n">
        <v>20</v>
      </c>
      <c r="O14" s="39" t="n">
        <v>20</v>
      </c>
      <c r="P14" s="5" t="n">
        <v>1</v>
      </c>
      <c r="Q14" s="5" t="n">
        <v>1</v>
      </c>
      <c r="R14" s="5" t="n">
        <v>0</v>
      </c>
      <c r="S14" s="5" t="n">
        <v>0</v>
      </c>
      <c r="T14" s="35" t="n">
        <v>0.15</v>
      </c>
      <c r="U14" s="40" t="n">
        <v>15</v>
      </c>
      <c r="V14" s="33" t="n">
        <v>0.12</v>
      </c>
      <c r="W14" s="35" t="n">
        <v>0.06</v>
      </c>
      <c r="X14" s="35" t="n">
        <v>0.03</v>
      </c>
      <c r="Y14" s="35" t="n">
        <v>0.005</v>
      </c>
      <c r="Z14" s="5" t="s">
        <v>102</v>
      </c>
    </row>
    <row r="15" customFormat="false" ht="15.75" hidden="false" customHeight="false" outlineLevel="0" collapsed="false">
      <c r="B15" s="5" t="s">
        <v>279</v>
      </c>
      <c r="C15" s="5" t="s">
        <v>293</v>
      </c>
      <c r="D15" s="5" t="s">
        <v>281</v>
      </c>
      <c r="E15" s="35" t="n">
        <v>1</v>
      </c>
      <c r="F15" s="142" t="n">
        <v>0</v>
      </c>
      <c r="G15" s="32" t="n">
        <v>248</v>
      </c>
      <c r="H15" s="35" t="n">
        <v>0.005</v>
      </c>
      <c r="I15" s="160" t="n">
        <f aca="false">4970*0.0036*0.133*0.4</f>
        <v>0.9518544</v>
      </c>
      <c r="J15" s="150" t="n">
        <f aca="false">370*0.4</f>
        <v>148</v>
      </c>
      <c r="K15" s="34" t="n">
        <v>1</v>
      </c>
      <c r="L15" s="35" t="n">
        <f aca="false">RANDBETWEEN(1,40)/100</f>
        <v>0.38</v>
      </c>
      <c r="M15" s="35" t="n">
        <f aca="false">RANDBETWEEN(1,100)/100</f>
        <v>0.52</v>
      </c>
      <c r="N15" s="5" t="n">
        <v>21</v>
      </c>
      <c r="O15" s="39" t="n">
        <v>20</v>
      </c>
      <c r="P15" s="5" t="n">
        <v>1</v>
      </c>
      <c r="Q15" s="5" t="n">
        <v>1</v>
      </c>
      <c r="R15" s="5" t="n">
        <v>0</v>
      </c>
      <c r="S15" s="5" t="n">
        <v>0</v>
      </c>
      <c r="T15" s="35" t="n">
        <v>0.15</v>
      </c>
      <c r="U15" s="40" t="n">
        <v>15</v>
      </c>
      <c r="V15" s="33" t="n">
        <v>0.12</v>
      </c>
      <c r="W15" s="35" t="n">
        <v>0.06</v>
      </c>
      <c r="X15" s="35" t="n">
        <v>0.03</v>
      </c>
      <c r="Y15" s="35" t="n">
        <v>0.005</v>
      </c>
      <c r="Z15" s="5" t="s">
        <v>102</v>
      </c>
    </row>
    <row r="16" customFormat="false" ht="15.75" hidden="false" customHeight="false" outlineLevel="0" collapsed="false">
      <c r="B16" s="5" t="s">
        <v>279</v>
      </c>
      <c r="C16" s="5" t="s">
        <v>294</v>
      </c>
      <c r="D16" s="5" t="s">
        <v>281</v>
      </c>
      <c r="E16" s="35" t="n">
        <v>1</v>
      </c>
      <c r="F16" s="142" t="n">
        <v>0</v>
      </c>
      <c r="G16" s="32" t="n">
        <v>293</v>
      </c>
      <c r="H16" s="35" t="n">
        <v>0.005</v>
      </c>
      <c r="I16" s="160" t="n">
        <f aca="false">4970*0.0036*0.133*0.5</f>
        <v>1.189818</v>
      </c>
      <c r="J16" s="150" t="n">
        <f aca="false">370*0.5</f>
        <v>185</v>
      </c>
      <c r="K16" s="34" t="n">
        <v>1</v>
      </c>
      <c r="L16" s="35" t="n">
        <f aca="false">RANDBETWEEN(1,40)/100</f>
        <v>0.33</v>
      </c>
      <c r="M16" s="35" t="n">
        <f aca="false">RANDBETWEEN(1,100)/100</f>
        <v>0.34</v>
      </c>
      <c r="N16" s="5" t="n">
        <v>22</v>
      </c>
      <c r="O16" s="39" t="n">
        <v>20</v>
      </c>
      <c r="P16" s="5" t="n">
        <v>1</v>
      </c>
      <c r="Q16" s="5" t="n">
        <v>1</v>
      </c>
      <c r="R16" s="5" t="n">
        <v>0</v>
      </c>
      <c r="S16" s="5" t="n">
        <v>0</v>
      </c>
      <c r="T16" s="35" t="n">
        <v>0.15</v>
      </c>
      <c r="U16" s="40" t="n">
        <v>15</v>
      </c>
      <c r="V16" s="33" t="n">
        <v>0.12</v>
      </c>
      <c r="W16" s="35" t="n">
        <v>0.06</v>
      </c>
      <c r="X16" s="35" t="n">
        <v>0.03</v>
      </c>
      <c r="Y16" s="35" t="n">
        <v>0.005</v>
      </c>
      <c r="Z16" s="5" t="s">
        <v>102</v>
      </c>
    </row>
    <row r="17" customFormat="false" ht="15.75" hidden="false" customHeight="false" outlineLevel="0" collapsed="false">
      <c r="B17" s="5" t="s">
        <v>279</v>
      </c>
      <c r="C17" s="5" t="s">
        <v>295</v>
      </c>
      <c r="D17" s="5" t="s">
        <v>281</v>
      </c>
      <c r="E17" s="35" t="n">
        <v>1</v>
      </c>
      <c r="F17" s="142" t="n">
        <v>0</v>
      </c>
      <c r="G17" s="32" t="n">
        <v>338</v>
      </c>
      <c r="H17" s="35" t="n">
        <v>0.005</v>
      </c>
      <c r="I17" s="160" t="n">
        <f aca="false">4970*0.0036*0.133*0.6</f>
        <v>1.4277816</v>
      </c>
      <c r="J17" s="150" t="n">
        <f aca="false">370*0.6</f>
        <v>222</v>
      </c>
      <c r="K17" s="34" t="n">
        <v>1</v>
      </c>
      <c r="L17" s="35" t="n">
        <f aca="false">RANDBETWEEN(1,40)/100</f>
        <v>0.31</v>
      </c>
      <c r="M17" s="35" t="n">
        <f aca="false">RANDBETWEEN(1,100)/100</f>
        <v>0.85</v>
      </c>
      <c r="N17" s="5" t="n">
        <v>19</v>
      </c>
      <c r="O17" s="39" t="n">
        <v>20</v>
      </c>
      <c r="P17" s="5" t="n">
        <v>1</v>
      </c>
      <c r="Q17" s="5" t="n">
        <v>1</v>
      </c>
      <c r="R17" s="5" t="n">
        <v>0</v>
      </c>
      <c r="S17" s="5" t="n">
        <v>0</v>
      </c>
      <c r="T17" s="35" t="n">
        <v>0.15</v>
      </c>
      <c r="U17" s="40" t="n">
        <v>15</v>
      </c>
      <c r="V17" s="33" t="n">
        <v>0.12</v>
      </c>
      <c r="W17" s="35" t="n">
        <v>0.06</v>
      </c>
      <c r="X17" s="35" t="n">
        <v>0.03</v>
      </c>
      <c r="Y17" s="35" t="n">
        <v>0.005</v>
      </c>
      <c r="Z17" s="5" t="s">
        <v>102</v>
      </c>
    </row>
    <row r="18" customFormat="false" ht="15.75" hidden="false" customHeight="false" outlineLevel="0" collapsed="false">
      <c r="B18" s="5" t="s">
        <v>279</v>
      </c>
      <c r="C18" s="5" t="s">
        <v>296</v>
      </c>
      <c r="D18" s="5" t="s">
        <v>281</v>
      </c>
      <c r="E18" s="35" t="n">
        <v>1</v>
      </c>
      <c r="F18" s="142" t="n">
        <v>0</v>
      </c>
      <c r="G18" s="32" t="n">
        <v>384</v>
      </c>
      <c r="H18" s="35" t="n">
        <v>0.005</v>
      </c>
      <c r="I18" s="160" t="n">
        <f aca="false">4970*0.0036*0.133*0.7</f>
        <v>1.6657452</v>
      </c>
      <c r="J18" s="150" t="n">
        <f aca="false">370*0.7</f>
        <v>259</v>
      </c>
      <c r="K18" s="34" t="n">
        <v>1</v>
      </c>
      <c r="L18" s="35" t="n">
        <f aca="false">RANDBETWEEN(1,40)/100</f>
        <v>0.03</v>
      </c>
      <c r="M18" s="35" t="n">
        <f aca="false">RANDBETWEEN(1,100)/100</f>
        <v>0.16</v>
      </c>
      <c r="N18" s="5" t="n">
        <v>20</v>
      </c>
      <c r="O18" s="39" t="n">
        <v>20</v>
      </c>
      <c r="P18" s="5" t="n">
        <v>1</v>
      </c>
      <c r="Q18" s="5" t="n">
        <v>1</v>
      </c>
      <c r="R18" s="5" t="n">
        <v>0</v>
      </c>
      <c r="S18" s="5" t="n">
        <v>0</v>
      </c>
      <c r="T18" s="35" t="n">
        <v>0.15</v>
      </c>
      <c r="U18" s="40" t="n">
        <v>15</v>
      </c>
      <c r="V18" s="33" t="n">
        <v>0.12</v>
      </c>
      <c r="W18" s="35" t="n">
        <v>0.06</v>
      </c>
      <c r="X18" s="35" t="n">
        <v>0.03</v>
      </c>
      <c r="Y18" s="35" t="n">
        <v>0.005</v>
      </c>
      <c r="Z18" s="5" t="s">
        <v>102</v>
      </c>
    </row>
    <row r="19" customFormat="false" ht="15.75" hidden="false" customHeight="false" outlineLevel="0" collapsed="false">
      <c r="B19" s="5" t="s">
        <v>279</v>
      </c>
      <c r="C19" s="5" t="s">
        <v>297</v>
      </c>
      <c r="D19" s="5" t="s">
        <v>281</v>
      </c>
      <c r="E19" s="35" t="n">
        <v>1</v>
      </c>
      <c r="F19" s="142" t="n">
        <v>0</v>
      </c>
      <c r="G19" s="32" t="n">
        <v>429</v>
      </c>
      <c r="H19" s="35" t="n">
        <v>0.005</v>
      </c>
      <c r="I19" s="160" t="n">
        <f aca="false">4970*0.0036*0.133*0.8</f>
        <v>1.9037088</v>
      </c>
      <c r="J19" s="150" t="n">
        <f aca="false">370*0.8</f>
        <v>296</v>
      </c>
      <c r="K19" s="34" t="n">
        <v>1</v>
      </c>
      <c r="L19" s="35" t="n">
        <f aca="false">RANDBETWEEN(1,40)/100</f>
        <v>0.28</v>
      </c>
      <c r="M19" s="35" t="n">
        <f aca="false">RANDBETWEEN(1,100)/100</f>
        <v>0.34</v>
      </c>
      <c r="N19" s="5" t="n">
        <v>21</v>
      </c>
      <c r="O19" s="39" t="n">
        <v>20</v>
      </c>
      <c r="P19" s="5" t="n">
        <v>1</v>
      </c>
      <c r="Q19" s="5" t="n">
        <v>1</v>
      </c>
      <c r="R19" s="5" t="n">
        <v>0</v>
      </c>
      <c r="S19" s="5" t="n">
        <v>0</v>
      </c>
      <c r="T19" s="35" t="n">
        <v>0.15</v>
      </c>
      <c r="U19" s="40" t="n">
        <v>15</v>
      </c>
      <c r="V19" s="33" t="n">
        <v>0.12</v>
      </c>
      <c r="W19" s="35" t="n">
        <v>0.06</v>
      </c>
      <c r="X19" s="35" t="n">
        <v>0.03</v>
      </c>
      <c r="Y19" s="35" t="n">
        <v>0.005</v>
      </c>
      <c r="Z19" s="5" t="s">
        <v>102</v>
      </c>
    </row>
    <row r="20" customFormat="false" ht="15.75" hidden="false" customHeight="false" outlineLevel="0" collapsed="false">
      <c r="B20" s="5" t="s">
        <v>279</v>
      </c>
      <c r="C20" s="5" t="s">
        <v>298</v>
      </c>
      <c r="D20" s="5" t="s">
        <v>281</v>
      </c>
      <c r="E20" s="35" t="n">
        <v>1</v>
      </c>
      <c r="F20" s="142" t="n">
        <v>0</v>
      </c>
      <c r="G20" s="32" t="n">
        <v>474</v>
      </c>
      <c r="H20" s="35" t="n">
        <v>0.005</v>
      </c>
      <c r="I20" s="160" t="n">
        <f aca="false">4970*0.0036*0.133*0.9</f>
        <v>2.1416724</v>
      </c>
      <c r="J20" s="150" t="n">
        <f aca="false">370*0.9</f>
        <v>333</v>
      </c>
      <c r="K20" s="34" t="n">
        <v>2</v>
      </c>
      <c r="L20" s="35" t="n">
        <f aca="false">RANDBETWEEN(1,40)/100</f>
        <v>0.24</v>
      </c>
      <c r="M20" s="35" t="n">
        <f aca="false">RANDBETWEEN(1,100)/100</f>
        <v>0.36</v>
      </c>
      <c r="N20" s="5" t="n">
        <v>22</v>
      </c>
      <c r="O20" s="39" t="n">
        <v>20</v>
      </c>
      <c r="P20" s="5" t="n">
        <v>1</v>
      </c>
      <c r="Q20" s="5" t="n">
        <v>1</v>
      </c>
      <c r="R20" s="5" t="n">
        <v>0</v>
      </c>
      <c r="S20" s="5" t="n">
        <v>0</v>
      </c>
      <c r="T20" s="35" t="n">
        <v>0.12</v>
      </c>
      <c r="U20" s="40" t="n">
        <v>15</v>
      </c>
      <c r="V20" s="33" t="n">
        <v>0.12</v>
      </c>
      <c r="W20" s="35" t="n">
        <v>0.06</v>
      </c>
      <c r="X20" s="35" t="n">
        <v>0.05</v>
      </c>
      <c r="Y20" s="35" t="n">
        <v>0.005</v>
      </c>
      <c r="Z20" s="5" t="s">
        <v>102</v>
      </c>
    </row>
    <row r="21" customFormat="false" ht="15.75" hidden="false" customHeight="false" outlineLevel="0" collapsed="false">
      <c r="B21" s="5" t="s">
        <v>299</v>
      </c>
      <c r="C21" s="5" t="s">
        <v>300</v>
      </c>
      <c r="D21" s="5" t="s">
        <v>281</v>
      </c>
      <c r="E21" s="35" t="n">
        <v>1</v>
      </c>
      <c r="F21" s="142" t="n">
        <v>0</v>
      </c>
      <c r="G21" s="161" t="n">
        <v>1118.77</v>
      </c>
      <c r="H21" s="146" t="n">
        <v>0.0125</v>
      </c>
      <c r="I21" s="32" t="n">
        <f aca="false">135/Q21</f>
        <v>22.5</v>
      </c>
      <c r="J21" s="32" t="n">
        <f aca="false">9590/Q21</f>
        <v>1598.33333333333</v>
      </c>
      <c r="K21" s="34" t="n">
        <v>1</v>
      </c>
      <c r="L21" s="35" t="n">
        <f aca="false">RANDBETWEEN(1,40)/100</f>
        <v>0.27</v>
      </c>
      <c r="M21" s="35" t="n">
        <f aca="false">RANDBETWEEN(1,100)/100</f>
        <v>0.16</v>
      </c>
      <c r="N21" s="5" t="n">
        <v>35</v>
      </c>
      <c r="O21" s="32" t="n">
        <v>27</v>
      </c>
      <c r="P21" s="40" t="n">
        <v>1</v>
      </c>
      <c r="Q21" s="32" t="n">
        <v>6</v>
      </c>
      <c r="R21" s="40" t="n">
        <v>0</v>
      </c>
      <c r="S21" s="32" t="n">
        <v>0.188</v>
      </c>
      <c r="T21" s="35" t="n">
        <v>0.12</v>
      </c>
      <c r="U21" s="40" t="n">
        <v>15</v>
      </c>
      <c r="V21" s="33" t="n">
        <v>0.12</v>
      </c>
      <c r="W21" s="35" t="n">
        <v>0.06</v>
      </c>
      <c r="X21" s="35" t="n">
        <v>0.05</v>
      </c>
      <c r="Y21" s="33" t="n">
        <v>0.005</v>
      </c>
      <c r="Z21" s="5" t="s">
        <v>102</v>
      </c>
    </row>
    <row r="22" customFormat="false" ht="15.75" hidden="false" customHeight="false" outlineLevel="0" collapsed="false">
      <c r="B22" s="5" t="s">
        <v>301</v>
      </c>
      <c r="C22" s="5" t="s">
        <v>112</v>
      </c>
      <c r="D22" s="5" t="str">
        <f aca="false">C22</f>
        <v>diesel</v>
      </c>
      <c r="E22" s="35" t="n">
        <v>0.35</v>
      </c>
      <c r="F22" s="142" t="n">
        <v>1.15</v>
      </c>
      <c r="G22" s="32" t="n">
        <v>634</v>
      </c>
      <c r="H22" s="146" t="n">
        <v>0.0124</v>
      </c>
      <c r="I22" s="162" t="n">
        <v>1.79</v>
      </c>
      <c r="J22" s="162" t="n">
        <v>122</v>
      </c>
      <c r="K22" s="34" t="n">
        <v>1</v>
      </c>
      <c r="L22" s="35" t="n">
        <f aca="false">RANDBETWEEN(1,40)/100</f>
        <v>0.06</v>
      </c>
      <c r="M22" s="35" t="n">
        <f aca="false">RANDBETWEEN(1,100)/100</f>
        <v>0.06</v>
      </c>
      <c r="N22" s="5" t="n">
        <v>30</v>
      </c>
      <c r="O22" s="32" t="n">
        <v>20</v>
      </c>
      <c r="P22" s="151" t="n">
        <v>1</v>
      </c>
      <c r="Q22" s="32" t="n">
        <v>1</v>
      </c>
      <c r="R22" s="40" t="n">
        <v>0</v>
      </c>
      <c r="S22" s="32" t="n">
        <v>0.984</v>
      </c>
      <c r="T22" s="35" t="n">
        <v>0.1</v>
      </c>
      <c r="U22" s="40" t="n">
        <v>15</v>
      </c>
      <c r="V22" s="33" t="n">
        <v>0.08</v>
      </c>
      <c r="W22" s="35" t="n">
        <v>0.06</v>
      </c>
      <c r="X22" s="35" t="n">
        <v>0.005</v>
      </c>
      <c r="Y22" s="33" t="n">
        <v>0.01</v>
      </c>
      <c r="Z22" s="5" t="s">
        <v>102</v>
      </c>
    </row>
    <row r="23" customFormat="false" ht="15.75" hidden="false" customHeight="false" outlineLevel="0" collapsed="false">
      <c r="B23" s="5" t="s">
        <v>302</v>
      </c>
      <c r="C23" s="5" t="s">
        <v>302</v>
      </c>
      <c r="D23" s="5" t="s">
        <v>101</v>
      </c>
      <c r="E23" s="35" t="n">
        <v>1</v>
      </c>
      <c r="F23" s="163" t="s">
        <v>303</v>
      </c>
      <c r="G23" s="5" t="n">
        <v>0</v>
      </c>
      <c r="H23" s="5" t="n">
        <v>0</v>
      </c>
      <c r="I23" s="5" t="n">
        <v>0</v>
      </c>
      <c r="J23" s="5" t="n">
        <v>0</v>
      </c>
      <c r="K23" s="5" t="n">
        <v>0</v>
      </c>
      <c r="L23" s="35" t="n">
        <f aca="false">RANDBETWEEN(1,40)/100</f>
        <v>0.06</v>
      </c>
      <c r="M23" s="35" t="n">
        <f aca="false">RANDBETWEEN(1,100)/100</f>
        <v>0.35</v>
      </c>
      <c r="N23" s="5" t="n">
        <v>0</v>
      </c>
      <c r="O23" s="5" t="n">
        <v>999</v>
      </c>
      <c r="P23" s="5" t="n">
        <v>1</v>
      </c>
      <c r="Q23" s="5" t="n">
        <v>1</v>
      </c>
      <c r="R23" s="5" t="n">
        <v>0</v>
      </c>
      <c r="S23" s="5" t="n">
        <v>0</v>
      </c>
      <c r="T23" s="35" t="n">
        <v>0</v>
      </c>
      <c r="U23" s="5" t="n">
        <v>999</v>
      </c>
      <c r="V23" s="35" t="n">
        <v>0</v>
      </c>
      <c r="W23" s="35" t="n">
        <v>0</v>
      </c>
      <c r="X23" s="35" t="n">
        <v>0</v>
      </c>
      <c r="Y23" s="35" t="n">
        <v>0</v>
      </c>
      <c r="Z23" s="5" t="s">
        <v>118</v>
      </c>
    </row>
    <row r="24" customFormat="false" ht="15.75" hidden="false" customHeight="false" outlineLevel="0" collapsed="false">
      <c r="B24" s="164" t="s">
        <v>304</v>
      </c>
      <c r="C24" s="165" t="s">
        <v>305</v>
      </c>
      <c r="D24" s="111" t="s">
        <v>281</v>
      </c>
      <c r="E24" s="108" t="n">
        <v>1</v>
      </c>
      <c r="F24" s="166" t="n">
        <v>0</v>
      </c>
      <c r="G24" s="111" t="n">
        <v>0</v>
      </c>
      <c r="H24" s="108" t="n">
        <v>0</v>
      </c>
      <c r="I24" s="111" t="n">
        <v>0</v>
      </c>
      <c r="J24" s="111" t="n">
        <v>0</v>
      </c>
      <c r="K24" s="111" t="n">
        <v>1</v>
      </c>
      <c r="L24" s="108" t="n">
        <v>0</v>
      </c>
      <c r="M24" s="108" t="n">
        <v>0.2</v>
      </c>
      <c r="N24" s="111" t="n">
        <v>101</v>
      </c>
      <c r="O24" s="111" t="n">
        <v>25</v>
      </c>
      <c r="P24" s="111" t="n">
        <v>1</v>
      </c>
      <c r="Q24" s="111" t="n">
        <v>1</v>
      </c>
      <c r="R24" s="111" t="n">
        <v>0.1</v>
      </c>
      <c r="S24" s="111" t="n">
        <v>0.05</v>
      </c>
      <c r="T24" s="108" t="n">
        <v>0</v>
      </c>
      <c r="U24" s="111" t="n">
        <v>999</v>
      </c>
      <c r="V24" s="108" t="n">
        <v>0</v>
      </c>
      <c r="W24" s="108" t="n">
        <v>0</v>
      </c>
      <c r="X24" s="108" t="n">
        <v>0</v>
      </c>
      <c r="Y24" s="108" t="n">
        <v>0.005</v>
      </c>
      <c r="Z24" s="111" t="s">
        <v>102</v>
      </c>
    </row>
    <row r="25" customFormat="false" ht="15.75" hidden="false" customHeight="false" outlineLevel="0" collapsed="false">
      <c r="B25" s="167" t="s">
        <v>304</v>
      </c>
      <c r="C25" s="168" t="s">
        <v>306</v>
      </c>
      <c r="D25" s="169" t="s">
        <v>281</v>
      </c>
      <c r="E25" s="170" t="n">
        <v>1</v>
      </c>
      <c r="F25" s="171" t="n">
        <v>0</v>
      </c>
      <c r="G25" s="169" t="n">
        <v>0</v>
      </c>
      <c r="H25" s="170" t="n">
        <v>0</v>
      </c>
      <c r="I25" s="169" t="n">
        <v>0</v>
      </c>
      <c r="J25" s="169" t="n">
        <v>0</v>
      </c>
      <c r="K25" s="169" t="n">
        <v>1</v>
      </c>
      <c r="L25" s="170" t="n">
        <v>0</v>
      </c>
      <c r="M25" s="170" t="n">
        <v>0.3</v>
      </c>
      <c r="N25" s="169" t="n">
        <v>88</v>
      </c>
      <c r="O25" s="169" t="n">
        <v>25</v>
      </c>
      <c r="P25" s="169" t="n">
        <v>1</v>
      </c>
      <c r="Q25" s="169" t="n">
        <v>1</v>
      </c>
      <c r="R25" s="169" t="n">
        <v>0.1</v>
      </c>
      <c r="S25" s="169" t="n">
        <v>0.05</v>
      </c>
      <c r="T25" s="170" t="n">
        <v>0</v>
      </c>
      <c r="U25" s="169" t="n">
        <v>999</v>
      </c>
      <c r="V25" s="170" t="n">
        <v>0</v>
      </c>
      <c r="W25" s="170" t="n">
        <v>0</v>
      </c>
      <c r="X25" s="170" t="n">
        <v>0</v>
      </c>
      <c r="Y25" s="170" t="n">
        <v>0.005</v>
      </c>
      <c r="Z25" s="169" t="s">
        <v>102</v>
      </c>
    </row>
    <row r="26" customFormat="false" ht="15.75" hidden="false" customHeight="false" outlineLevel="0" collapsed="false">
      <c r="B26" s="167" t="s">
        <v>304</v>
      </c>
      <c r="C26" s="168" t="s">
        <v>307</v>
      </c>
      <c r="D26" s="169" t="s">
        <v>281</v>
      </c>
      <c r="E26" s="170" t="n">
        <v>1</v>
      </c>
      <c r="F26" s="171" t="n">
        <v>0</v>
      </c>
      <c r="G26" s="169" t="n">
        <v>0</v>
      </c>
      <c r="H26" s="170" t="n">
        <v>0</v>
      </c>
      <c r="I26" s="169" t="n">
        <v>0</v>
      </c>
      <c r="J26" s="169" t="n">
        <v>0</v>
      </c>
      <c r="K26" s="169" t="n">
        <v>1</v>
      </c>
      <c r="L26" s="170" t="n">
        <v>0</v>
      </c>
      <c r="M26" s="170" t="n">
        <v>0.4</v>
      </c>
      <c r="N26" s="169" t="n">
        <v>133</v>
      </c>
      <c r="O26" s="169" t="n">
        <v>25</v>
      </c>
      <c r="P26" s="169" t="n">
        <v>1</v>
      </c>
      <c r="Q26" s="169" t="n">
        <v>1</v>
      </c>
      <c r="R26" s="169" t="n">
        <v>0.1</v>
      </c>
      <c r="S26" s="169" t="n">
        <v>0.05</v>
      </c>
      <c r="T26" s="170" t="n">
        <v>0</v>
      </c>
      <c r="U26" s="169" t="n">
        <v>999</v>
      </c>
      <c r="V26" s="170" t="n">
        <v>0</v>
      </c>
      <c r="W26" s="170" t="n">
        <v>0</v>
      </c>
      <c r="X26" s="170" t="n">
        <v>0</v>
      </c>
      <c r="Y26" s="170" t="n">
        <v>0.005</v>
      </c>
      <c r="Z26" s="169" t="s">
        <v>102</v>
      </c>
    </row>
    <row r="28" customFormat="false" ht="15" hidden="false" customHeight="false" outlineLevel="0" collapsed="false">
      <c r="A28" s="44" t="s">
        <v>250</v>
      </c>
    </row>
    <row r="48" customFormat="false" ht="15" hidden="false" customHeight="false" outlineLevel="0" collapsed="false">
      <c r="A48" s="45" t="s">
        <v>133</v>
      </c>
      <c r="B48" s="45" t="s">
        <v>31</v>
      </c>
    </row>
    <row r="49" customFormat="false" ht="15" hidden="false" customHeight="false" outlineLevel="0" collapsed="false">
      <c r="A49" s="46" t="s">
        <v>308</v>
      </c>
      <c r="B49" s="46" t="s">
        <v>138</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48"/>
  <sheetViews>
    <sheetView showFormulas="false" showGridLines="true" showRowColHeaders="true" showZeros="true" rightToLeft="false" tabSelected="false" showOutlineSymbols="true" defaultGridColor="true" view="normal" topLeftCell="I1" colorId="64" zoomScale="132" zoomScaleNormal="132" zoomScalePageLayoutView="100" workbookViewId="0">
      <selection pane="topLeft" activeCell="S21" activeCellId="0" sqref="S21"/>
    </sheetView>
  </sheetViews>
  <sheetFormatPr defaultColWidth="8.5078125" defaultRowHeight="15" zeroHeight="false" outlineLevelRow="0" outlineLevelCol="0"/>
  <cols>
    <col collapsed="false" customWidth="true" hidden="false" outlineLevel="0" max="2" min="2" style="0" width="23.5"/>
    <col collapsed="false" customWidth="true" hidden="false" outlineLevel="0" max="3" min="3" style="0" width="30.33"/>
    <col collapsed="false" customWidth="true" hidden="false" outlineLevel="0" max="5" min="4" style="0" width="17.33"/>
    <col collapsed="false" customWidth="true" hidden="false" outlineLevel="0" max="6" min="6" style="0" width="30.5"/>
    <col collapsed="false" customWidth="true" hidden="false" outlineLevel="0" max="7" min="7" style="0" width="13.33"/>
    <col collapsed="false" customWidth="true" hidden="false" outlineLevel="0" max="8" min="8" style="0" width="16.33"/>
    <col collapsed="false" customWidth="true" hidden="false" outlineLevel="0" max="9" min="9" style="0" width="13.33"/>
    <col collapsed="false" customWidth="true" hidden="false" outlineLevel="0" max="13" min="10" style="0" width="14.66"/>
    <col collapsed="false" customWidth="true" hidden="false" outlineLevel="0" max="14" min="14" style="0" width="15.33"/>
    <col collapsed="false" customWidth="true" hidden="false" outlineLevel="0" max="17" min="17" style="0" width="10.66"/>
    <col collapsed="false" customWidth="true" hidden="false" outlineLevel="0" max="19" min="18" style="0" width="15.33"/>
    <col collapsed="false" customWidth="true" hidden="false" outlineLevel="0" max="20" min="20" style="0" width="15"/>
    <col collapsed="false" customWidth="true" hidden="false" outlineLevel="0" max="21" min="21" style="0" width="19.67"/>
    <col collapsed="false" customWidth="true" hidden="false" outlineLevel="0" max="22" min="22" style="0" width="19"/>
    <col collapsed="false" customWidth="true" hidden="false" outlineLevel="0" max="23" min="23" style="0" width="17.67"/>
    <col collapsed="false" customWidth="true" hidden="false" outlineLevel="0" max="24" min="24" style="0" width="14.5"/>
    <col collapsed="false" customWidth="true" hidden="false" outlineLevel="0" max="25" min="25" style="0" width="30.33"/>
    <col collapsed="false" customWidth="true" hidden="false" outlineLevel="0" max="26" min="26" style="0" width="13.51"/>
  </cols>
  <sheetData>
    <row r="1" customFormat="false" ht="15.75" hidden="false" customHeight="false" outlineLevel="0" collapsed="false">
      <c r="A1" s="26" t="s">
        <v>31</v>
      </c>
      <c r="N1" s="0" t="s">
        <v>75</v>
      </c>
    </row>
    <row r="2" s="27" customFormat="true" ht="33" hidden="false" customHeight="false" outlineLevel="0" collapsed="false">
      <c r="A2" s="28" t="s">
        <v>78</v>
      </c>
      <c r="B2" s="29" t="s">
        <v>79</v>
      </c>
      <c r="C2" s="29" t="s">
        <v>80</v>
      </c>
      <c r="D2" s="29" t="s">
        <v>276</v>
      </c>
      <c r="E2" s="29" t="s">
        <v>277</v>
      </c>
      <c r="F2" s="29" t="s">
        <v>278</v>
      </c>
      <c r="G2" s="30" t="s">
        <v>84</v>
      </c>
      <c r="H2" s="30" t="s">
        <v>85</v>
      </c>
      <c r="I2" s="30" t="s">
        <v>86</v>
      </c>
      <c r="J2" s="30" t="s">
        <v>87</v>
      </c>
      <c r="K2" s="30" t="s">
        <v>88</v>
      </c>
      <c r="L2" s="30" t="s">
        <v>23</v>
      </c>
      <c r="M2" s="30" t="s">
        <v>25</v>
      </c>
      <c r="N2" s="29" t="s">
        <v>27</v>
      </c>
      <c r="O2" s="29" t="s">
        <v>89</v>
      </c>
      <c r="P2" s="29" t="s">
        <v>90</v>
      </c>
      <c r="Q2" s="29" t="s">
        <v>91</v>
      </c>
      <c r="R2" s="29" t="s">
        <v>33</v>
      </c>
      <c r="S2" s="29" t="s">
        <v>36</v>
      </c>
      <c r="T2" s="29" t="s">
        <v>92</v>
      </c>
      <c r="U2" s="29" t="s">
        <v>93</v>
      </c>
      <c r="V2" s="29" t="s">
        <v>94</v>
      </c>
      <c r="W2" s="29" t="s">
        <v>95</v>
      </c>
      <c r="X2" s="29" t="s">
        <v>96</v>
      </c>
      <c r="Y2" s="29" t="s">
        <v>97</v>
      </c>
      <c r="Z2" s="29" t="s">
        <v>98</v>
      </c>
    </row>
    <row r="3" customFormat="false" ht="15.75" hidden="false" customHeight="false" outlineLevel="0" collapsed="false">
      <c r="B3" s="5" t="s">
        <v>309</v>
      </c>
      <c r="C3" s="5" t="s">
        <v>111</v>
      </c>
      <c r="D3" s="5" t="str">
        <f aca="false">C3</f>
        <v>ngas</v>
      </c>
      <c r="E3" s="36" t="n">
        <v>0.4</v>
      </c>
      <c r="F3" s="142" t="n">
        <v>0</v>
      </c>
      <c r="G3" s="172" t="n">
        <v>800</v>
      </c>
      <c r="H3" s="173" t="n">
        <v>0.05</v>
      </c>
      <c r="I3" s="34" t="n">
        <v>300</v>
      </c>
      <c r="J3" s="34" t="n">
        <v>20000</v>
      </c>
      <c r="K3" s="34" t="n">
        <v>1</v>
      </c>
      <c r="L3" s="35" t="n">
        <f aca="false">RANDBETWEEN(1,40)/100</f>
        <v>0.22</v>
      </c>
      <c r="M3" s="35" t="n">
        <f aca="false">RANDBETWEEN(1,100)/100</f>
        <v>0.54</v>
      </c>
      <c r="N3" s="5" t="n">
        <v>30</v>
      </c>
      <c r="O3" s="34" t="n">
        <v>100</v>
      </c>
      <c r="P3" s="32" t="n">
        <v>1</v>
      </c>
      <c r="Q3" s="34" t="n">
        <v>1</v>
      </c>
      <c r="R3" s="34" t="n">
        <v>0.6</v>
      </c>
      <c r="S3" s="34" t="n">
        <v>0.6</v>
      </c>
      <c r="T3" s="35" t="n">
        <v>0.1</v>
      </c>
      <c r="U3" s="5" t="n">
        <v>999</v>
      </c>
      <c r="V3" s="35" t="n">
        <v>0</v>
      </c>
      <c r="W3" s="35" t="n">
        <v>0.06</v>
      </c>
      <c r="X3" s="35" t="n">
        <v>0.005</v>
      </c>
      <c r="Y3" s="35" t="n">
        <v>0.005</v>
      </c>
      <c r="Z3" s="5" t="s">
        <v>118</v>
      </c>
    </row>
    <row r="4" customFormat="false" ht="15.75" hidden="false" customHeight="false" outlineLevel="0" collapsed="false">
      <c r="B4" s="5" t="s">
        <v>309</v>
      </c>
      <c r="C4" s="5" t="s">
        <v>114</v>
      </c>
      <c r="D4" s="5" t="str">
        <f aca="false">C4</f>
        <v>oil</v>
      </c>
      <c r="E4" s="36" t="n">
        <v>0.4</v>
      </c>
      <c r="F4" s="142" t="n">
        <v>1.3</v>
      </c>
      <c r="G4" s="172" t="n">
        <v>1000</v>
      </c>
      <c r="H4" s="173" t="n">
        <v>0.05</v>
      </c>
      <c r="I4" s="34" t="n">
        <v>300</v>
      </c>
      <c r="J4" s="34" t="n">
        <v>20000</v>
      </c>
      <c r="K4" s="34" t="n">
        <v>1</v>
      </c>
      <c r="L4" s="35" t="n">
        <f aca="false">RANDBETWEEN(1,40)/100</f>
        <v>0.26</v>
      </c>
      <c r="M4" s="35" t="n">
        <f aca="false">RANDBETWEEN(1,100)/100</f>
        <v>0.27</v>
      </c>
      <c r="N4" s="5" t="n">
        <v>30</v>
      </c>
      <c r="O4" s="34" t="n">
        <v>100</v>
      </c>
      <c r="P4" s="34" t="n">
        <v>1</v>
      </c>
      <c r="Q4" s="34" t="n">
        <v>1</v>
      </c>
      <c r="R4" s="34" t="n">
        <v>0.6</v>
      </c>
      <c r="S4" s="34" t="n">
        <v>0.6</v>
      </c>
      <c r="T4" s="35" t="n">
        <v>0.1</v>
      </c>
      <c r="U4" s="5" t="n">
        <v>999</v>
      </c>
      <c r="V4" s="35" t="n">
        <v>0</v>
      </c>
      <c r="W4" s="35" t="n">
        <v>0.06</v>
      </c>
      <c r="X4" s="35" t="n">
        <v>0.005</v>
      </c>
      <c r="Y4" s="35" t="n">
        <v>0.005</v>
      </c>
      <c r="Z4" s="5" t="s">
        <v>118</v>
      </c>
    </row>
    <row r="5" customFormat="false" ht="15.75" hidden="false" customHeight="false" outlineLevel="0" collapsed="false">
      <c r="B5" s="5" t="s">
        <v>309</v>
      </c>
      <c r="C5" s="5" t="s">
        <v>310</v>
      </c>
      <c r="D5" s="5" t="s">
        <v>310</v>
      </c>
      <c r="E5" s="36" t="n">
        <v>0.9</v>
      </c>
      <c r="F5" s="142" t="n">
        <v>1</v>
      </c>
      <c r="G5" s="172" t="n">
        <v>0</v>
      </c>
      <c r="H5" s="173" t="n">
        <v>0</v>
      </c>
      <c r="I5" s="34" t="n">
        <v>0</v>
      </c>
      <c r="J5" s="34" t="n">
        <v>0</v>
      </c>
      <c r="K5" s="34" t="n">
        <v>1</v>
      </c>
      <c r="L5" s="35" t="n">
        <f aca="false">RANDBETWEEN(1,40)/100</f>
        <v>0.2</v>
      </c>
      <c r="M5" s="35" t="n">
        <f aca="false">RANDBETWEEN(1,100)/100</f>
        <v>0.8</v>
      </c>
      <c r="N5" s="5" t="n">
        <v>31</v>
      </c>
      <c r="O5" s="34" t="n">
        <v>100</v>
      </c>
      <c r="P5" s="34" t="n">
        <v>1</v>
      </c>
      <c r="Q5" s="34" t="n">
        <v>1</v>
      </c>
      <c r="R5" s="34" t="n">
        <v>0</v>
      </c>
      <c r="S5" s="34" t="n">
        <v>0</v>
      </c>
      <c r="T5" s="35" t="n">
        <v>0.1</v>
      </c>
      <c r="U5" s="5" t="n">
        <v>999</v>
      </c>
      <c r="V5" s="35" t="n">
        <v>0</v>
      </c>
      <c r="W5" s="35" t="n">
        <v>0.06</v>
      </c>
      <c r="X5" s="35" t="n">
        <v>0.005</v>
      </c>
      <c r="Y5" s="35" t="n">
        <v>0.005</v>
      </c>
      <c r="Z5" s="5" t="s">
        <v>118</v>
      </c>
    </row>
    <row r="6" customFormat="false" ht="15.75" hidden="false" customHeight="false" outlineLevel="0" collapsed="false">
      <c r="B6" s="5" t="s">
        <v>311</v>
      </c>
      <c r="C6" s="5" t="s">
        <v>312</v>
      </c>
      <c r="D6" s="5" t="s">
        <v>281</v>
      </c>
      <c r="E6" s="36" t="n">
        <v>0.4</v>
      </c>
      <c r="F6" s="142" t="n">
        <v>0</v>
      </c>
      <c r="G6" s="151" t="n">
        <f aca="false">4000/P6</f>
        <v>4000</v>
      </c>
      <c r="H6" s="37" t="n">
        <v>0.01</v>
      </c>
      <c r="I6" s="151" t="n">
        <f aca="false">301.818/P6</f>
        <v>301.818</v>
      </c>
      <c r="J6" s="151" t="n">
        <f aca="false">21454.545/Q6</f>
        <v>21.454545</v>
      </c>
      <c r="K6" s="34" t="n">
        <v>1</v>
      </c>
      <c r="L6" s="35" t="n">
        <f aca="false">RANDBETWEEN(1,40)/100</f>
        <v>0.33</v>
      </c>
      <c r="M6" s="35" t="n">
        <f aca="false">RANDBETWEEN(1,100)/100</f>
        <v>0.63</v>
      </c>
      <c r="N6" s="5" t="n">
        <v>30</v>
      </c>
      <c r="O6" s="34" t="n">
        <v>100</v>
      </c>
      <c r="P6" s="172" t="n">
        <v>1</v>
      </c>
      <c r="Q6" s="32" t="n">
        <v>1000</v>
      </c>
      <c r="R6" s="34" t="n">
        <v>0.1</v>
      </c>
      <c r="S6" s="34" t="n">
        <v>0.1</v>
      </c>
      <c r="T6" s="35" t="n">
        <v>0.1</v>
      </c>
      <c r="U6" s="5" t="n">
        <v>999</v>
      </c>
      <c r="V6" s="35" t="n">
        <v>0</v>
      </c>
      <c r="W6" s="35" t="n">
        <v>0.06</v>
      </c>
      <c r="X6" s="35" t="n">
        <v>0.005</v>
      </c>
      <c r="Y6" s="35" t="n">
        <v>0.005</v>
      </c>
      <c r="Z6" s="5" t="s">
        <v>118</v>
      </c>
    </row>
    <row r="7" customFormat="false" ht="15.75" hidden="false" customHeight="false" outlineLevel="0" collapsed="false">
      <c r="B7" s="5" t="s">
        <v>311</v>
      </c>
      <c r="C7" s="5" t="s">
        <v>313</v>
      </c>
      <c r="D7" s="5" t="s">
        <v>281</v>
      </c>
      <c r="E7" s="35" t="n">
        <v>1</v>
      </c>
      <c r="F7" s="142" t="n">
        <v>0</v>
      </c>
      <c r="G7" s="151" t="n">
        <f aca="false">3000/P7</f>
        <v>3000</v>
      </c>
      <c r="H7" s="173" t="n">
        <v>0.01</v>
      </c>
      <c r="I7" s="151" t="n">
        <f aca="false">217300/Q7</f>
        <v>217.3</v>
      </c>
      <c r="J7" s="151" t="n">
        <f aca="false">20759493.6708861/Q7</f>
        <v>20759.4936708861</v>
      </c>
      <c r="K7" s="34" t="n">
        <v>1</v>
      </c>
      <c r="L7" s="35" t="n">
        <f aca="false">RANDBETWEEN(1,40)/100</f>
        <v>0.16</v>
      </c>
      <c r="M7" s="35" t="n">
        <f aca="false">RANDBETWEEN(1,100)/100</f>
        <v>0.29</v>
      </c>
      <c r="N7" s="5" t="n">
        <v>31</v>
      </c>
      <c r="O7" s="32" t="n">
        <v>100</v>
      </c>
      <c r="P7" s="34" t="n">
        <v>1</v>
      </c>
      <c r="Q7" s="32" t="n">
        <v>1000</v>
      </c>
      <c r="R7" s="34" t="n">
        <v>0.1</v>
      </c>
      <c r="S7" s="34" t="n">
        <v>0.1</v>
      </c>
      <c r="T7" s="35" t="n">
        <v>0.1</v>
      </c>
      <c r="U7" s="5" t="n">
        <v>999</v>
      </c>
      <c r="V7" s="35" t="n">
        <v>0</v>
      </c>
      <c r="W7" s="35" t="n">
        <v>0.06</v>
      </c>
      <c r="X7" s="35" t="n">
        <v>0.005</v>
      </c>
      <c r="Y7" s="35" t="n">
        <v>0.005</v>
      </c>
      <c r="Z7" s="5" t="s">
        <v>118</v>
      </c>
    </row>
    <row r="8" customFormat="false" ht="15.75" hidden="false" customHeight="false" outlineLevel="0" collapsed="false">
      <c r="B8" s="5" t="s">
        <v>311</v>
      </c>
      <c r="C8" s="111" t="s">
        <v>314</v>
      </c>
      <c r="D8" s="111" t="s">
        <v>281</v>
      </c>
      <c r="E8" s="108" t="n">
        <v>1</v>
      </c>
      <c r="F8" s="155" t="n">
        <v>0.04</v>
      </c>
      <c r="G8" s="174" t="n">
        <v>12500</v>
      </c>
      <c r="H8" s="108" t="n">
        <v>0.01</v>
      </c>
      <c r="I8" s="23" t="n">
        <v>76.08</v>
      </c>
      <c r="J8" s="151" t="n">
        <v>4691.3523</v>
      </c>
      <c r="K8" s="151" t="n">
        <v>1</v>
      </c>
      <c r="L8" s="175" t="n">
        <v>0.34</v>
      </c>
      <c r="M8" s="108" t="n">
        <v>0.71</v>
      </c>
      <c r="N8" s="111" t="n">
        <v>35</v>
      </c>
      <c r="O8" s="111" t="n">
        <v>100</v>
      </c>
      <c r="P8" s="111" t="n">
        <v>2000</v>
      </c>
      <c r="Q8" s="111" t="n">
        <v>10000</v>
      </c>
      <c r="R8" s="111" t="n">
        <v>0</v>
      </c>
      <c r="S8" s="111" t="n">
        <v>0.6</v>
      </c>
      <c r="T8" s="108" t="n">
        <v>0.12</v>
      </c>
      <c r="U8" s="111" t="n">
        <v>999</v>
      </c>
      <c r="V8" s="108" t="n">
        <v>0</v>
      </c>
      <c r="W8" s="108" t="n">
        <v>0</v>
      </c>
      <c r="X8" s="108" t="n">
        <v>0</v>
      </c>
      <c r="Y8" s="108" t="n">
        <v>0.005</v>
      </c>
      <c r="Z8" s="111" t="s">
        <v>102</v>
      </c>
    </row>
    <row r="9" customFormat="false" ht="15.75" hidden="false" customHeight="false" outlineLevel="0" collapsed="false">
      <c r="B9" s="5" t="s">
        <v>315</v>
      </c>
      <c r="C9" s="5" t="s">
        <v>316</v>
      </c>
      <c r="D9" s="5" t="s">
        <v>317</v>
      </c>
      <c r="E9" s="173" t="n">
        <v>0.25</v>
      </c>
      <c r="F9" s="142" t="n">
        <v>0.55</v>
      </c>
      <c r="G9" s="34" t="n">
        <v>3000</v>
      </c>
      <c r="H9" s="36" t="n">
        <v>0.01</v>
      </c>
      <c r="I9" s="34" t="n">
        <f aca="false">301818/Q9</f>
        <v>301.818</v>
      </c>
      <c r="J9" s="34" t="n">
        <f aca="false">21454545/Q9</f>
        <v>21454.545</v>
      </c>
      <c r="K9" s="34" t="n">
        <v>1</v>
      </c>
      <c r="L9" s="35" t="n">
        <f aca="false">RANDBETWEEN(1,40)/100</f>
        <v>0.18</v>
      </c>
      <c r="M9" s="35" t="n">
        <f aca="false">RANDBETWEEN(1,100)/100</f>
        <v>0.06</v>
      </c>
      <c r="N9" s="5" t="n">
        <v>30</v>
      </c>
      <c r="O9" s="34" t="n">
        <v>100</v>
      </c>
      <c r="P9" s="172" t="n">
        <v>1</v>
      </c>
      <c r="Q9" s="32" t="n">
        <v>1000</v>
      </c>
      <c r="R9" s="34" t="n">
        <v>0.1</v>
      </c>
      <c r="S9" s="34" t="n">
        <v>0.1</v>
      </c>
      <c r="T9" s="35" t="n">
        <v>0.1</v>
      </c>
      <c r="U9" s="5" t="n">
        <v>999</v>
      </c>
      <c r="V9" s="35" t="n">
        <v>0</v>
      </c>
      <c r="W9" s="35" t="n">
        <v>0.06</v>
      </c>
      <c r="X9" s="35" t="n">
        <v>0.005</v>
      </c>
      <c r="Y9" s="35" t="n">
        <v>0.005</v>
      </c>
      <c r="Z9" s="5" t="s">
        <v>118</v>
      </c>
    </row>
    <row r="10" customFormat="false" ht="15.75" hidden="false" customHeight="false" outlineLevel="0" collapsed="false">
      <c r="B10" s="176" t="s">
        <v>318</v>
      </c>
      <c r="C10" s="5" t="s">
        <v>319</v>
      </c>
      <c r="D10" s="5" t="s">
        <v>281</v>
      </c>
      <c r="E10" s="35" t="n">
        <v>1</v>
      </c>
      <c r="F10" s="142" t="n">
        <v>0</v>
      </c>
      <c r="G10" s="34" t="n">
        <v>500</v>
      </c>
      <c r="H10" s="36" t="n">
        <v>0.01</v>
      </c>
      <c r="I10" s="34" t="n">
        <v>30</v>
      </c>
      <c r="J10" s="34" t="n">
        <v>2000</v>
      </c>
      <c r="K10" s="34" t="n">
        <v>1</v>
      </c>
      <c r="L10" s="35" t="n">
        <f aca="false">RANDBETWEEN(1,40)/100</f>
        <v>0.26</v>
      </c>
      <c r="M10" s="35" t="n">
        <f aca="false">RANDBETWEEN(1,100)/100</f>
        <v>0.09</v>
      </c>
      <c r="N10" s="5" t="n">
        <v>31</v>
      </c>
      <c r="O10" s="34" t="n">
        <v>100</v>
      </c>
      <c r="P10" s="34" t="n">
        <v>1</v>
      </c>
      <c r="Q10" s="34" t="n">
        <v>1</v>
      </c>
      <c r="R10" s="34" t="n">
        <v>0.1</v>
      </c>
      <c r="S10" s="34" t="n">
        <v>0.1</v>
      </c>
      <c r="T10" s="35" t="n">
        <v>0.1</v>
      </c>
      <c r="U10" s="5" t="n">
        <v>999</v>
      </c>
      <c r="V10" s="35" t="n">
        <v>0</v>
      </c>
      <c r="W10" s="35" t="n">
        <v>0.06</v>
      </c>
      <c r="X10" s="35" t="n">
        <v>0.005</v>
      </c>
      <c r="Y10" s="35" t="n">
        <v>0.005</v>
      </c>
      <c r="Z10" s="5" t="s">
        <v>118</v>
      </c>
    </row>
    <row r="11" customFormat="false" ht="15.75" hidden="false" customHeight="false" outlineLevel="0" collapsed="false">
      <c r="B11" s="176" t="s">
        <v>318</v>
      </c>
      <c r="C11" s="5" t="s">
        <v>320</v>
      </c>
      <c r="D11" s="5" t="s">
        <v>281</v>
      </c>
      <c r="E11" s="35" t="n">
        <v>1</v>
      </c>
      <c r="F11" s="142" t="n">
        <v>0</v>
      </c>
      <c r="G11" s="34" t="n">
        <v>500</v>
      </c>
      <c r="H11" s="36" t="n">
        <v>0.01</v>
      </c>
      <c r="I11" s="34" t="n">
        <v>30</v>
      </c>
      <c r="J11" s="34" t="n">
        <v>2000</v>
      </c>
      <c r="K11" s="34" t="n">
        <v>1</v>
      </c>
      <c r="L11" s="35" t="n">
        <f aca="false">RANDBETWEEN(1,40)/100</f>
        <v>0.28</v>
      </c>
      <c r="M11" s="35" t="n">
        <f aca="false">RANDBETWEEN(1,100)/100</f>
        <v>0.31</v>
      </c>
      <c r="N11" s="5" t="n">
        <v>31</v>
      </c>
      <c r="O11" s="34" t="n">
        <v>100</v>
      </c>
      <c r="P11" s="34" t="n">
        <v>1</v>
      </c>
      <c r="Q11" s="34" t="n">
        <v>1</v>
      </c>
      <c r="R11" s="34" t="n">
        <v>0.1</v>
      </c>
      <c r="S11" s="34" t="n">
        <v>0.1</v>
      </c>
      <c r="T11" s="35" t="n">
        <v>0.1</v>
      </c>
      <c r="U11" s="5" t="n">
        <v>999</v>
      </c>
      <c r="V11" s="35" t="n">
        <v>0</v>
      </c>
      <c r="W11" s="35" t="n">
        <v>0.06</v>
      </c>
      <c r="X11" s="35" t="n">
        <v>0.005</v>
      </c>
      <c r="Y11" s="35" t="n">
        <v>0.005</v>
      </c>
      <c r="Z11" s="5" t="s">
        <v>118</v>
      </c>
    </row>
    <row r="12" customFormat="false" ht="15.75" hidden="false" customHeight="false" outlineLevel="0" collapsed="false">
      <c r="B12" s="176" t="s">
        <v>318</v>
      </c>
      <c r="C12" s="5" t="s">
        <v>321</v>
      </c>
      <c r="D12" s="5" t="s">
        <v>281</v>
      </c>
      <c r="E12" s="35" t="n">
        <v>1</v>
      </c>
      <c r="F12" s="142" t="n">
        <v>0</v>
      </c>
      <c r="G12" s="151" t="n">
        <f aca="false">35000000/P12</f>
        <v>3500</v>
      </c>
      <c r="H12" s="177" t="n">
        <v>0.006</v>
      </c>
      <c r="I12" s="151" t="n">
        <f aca="false">2450/Q12</f>
        <v>4.9</v>
      </c>
      <c r="J12" s="151" t="n">
        <f aca="false">123000/Q12</f>
        <v>246</v>
      </c>
      <c r="K12" s="34" t="n">
        <v>1</v>
      </c>
      <c r="L12" s="35" t="n">
        <f aca="false">RANDBETWEEN(1,40)/100</f>
        <v>0.17</v>
      </c>
      <c r="M12" s="35" t="n">
        <f aca="false">RANDBETWEEN(1,100)/100</f>
        <v>0.63</v>
      </c>
      <c r="N12" s="5" t="n">
        <v>32</v>
      </c>
      <c r="O12" s="32" t="n">
        <v>25</v>
      </c>
      <c r="P12" s="32" t="n">
        <v>10000</v>
      </c>
      <c r="Q12" s="32" t="n">
        <v>500</v>
      </c>
      <c r="R12" s="40" t="n">
        <v>0.6</v>
      </c>
      <c r="S12" s="40" t="n">
        <v>0.6</v>
      </c>
      <c r="T12" s="35" t="n">
        <v>0.1</v>
      </c>
      <c r="U12" s="5" t="n">
        <v>999</v>
      </c>
      <c r="V12" s="35" t="n">
        <v>0</v>
      </c>
      <c r="W12" s="35" t="n">
        <v>0.06</v>
      </c>
      <c r="X12" s="35" t="n">
        <v>0.005</v>
      </c>
      <c r="Y12" s="35" t="n">
        <v>0.005</v>
      </c>
      <c r="Z12" s="5" t="s">
        <v>118</v>
      </c>
    </row>
    <row r="13" customFormat="false" ht="15.75" hidden="false" customHeight="false" outlineLevel="0" collapsed="false">
      <c r="B13" s="5" t="s">
        <v>322</v>
      </c>
      <c r="C13" s="5" t="s">
        <v>323</v>
      </c>
      <c r="D13" s="34" t="s">
        <v>281</v>
      </c>
      <c r="E13" s="36" t="n">
        <v>0.5</v>
      </c>
      <c r="F13" s="142" t="n">
        <v>0</v>
      </c>
      <c r="G13" s="151" t="n">
        <f aca="false">40156/P13</f>
        <v>401.56</v>
      </c>
      <c r="H13" s="37" t="n">
        <v>0.01</v>
      </c>
      <c r="I13" s="151" t="n">
        <f aca="false">2.79/Q13</f>
        <v>2.79</v>
      </c>
      <c r="J13" s="151" t="n">
        <f aca="false">153/Q13</f>
        <v>153</v>
      </c>
      <c r="K13" s="34" t="n">
        <v>1</v>
      </c>
      <c r="L13" s="35" t="n">
        <f aca="false">RANDBETWEEN(1,40)/100</f>
        <v>0.4</v>
      </c>
      <c r="M13" s="35" t="n">
        <f aca="false">RANDBETWEEN(1,100)/100</f>
        <v>0.3</v>
      </c>
      <c r="N13" s="5" t="n">
        <v>33</v>
      </c>
      <c r="O13" s="32" t="n">
        <v>30</v>
      </c>
      <c r="P13" s="32" t="n">
        <v>100</v>
      </c>
      <c r="Q13" s="32" t="n">
        <v>1</v>
      </c>
      <c r="R13" s="32" t="n">
        <v>0</v>
      </c>
      <c r="S13" s="32" t="n">
        <v>0</v>
      </c>
      <c r="T13" s="35" t="n">
        <v>0.1</v>
      </c>
      <c r="U13" s="5" t="n">
        <v>999</v>
      </c>
      <c r="V13" s="35" t="n">
        <v>0</v>
      </c>
      <c r="W13" s="35" t="n">
        <v>0.06</v>
      </c>
      <c r="X13" s="35" t="n">
        <v>0.005</v>
      </c>
      <c r="Y13" s="35" t="n">
        <v>0.005</v>
      </c>
      <c r="Z13" s="5" t="s">
        <v>118</v>
      </c>
    </row>
    <row r="14" customFormat="false" ht="15.75" hidden="false" customHeight="false" outlineLevel="0" collapsed="false">
      <c r="B14" s="5" t="s">
        <v>322</v>
      </c>
      <c r="C14" s="5" t="s">
        <v>324</v>
      </c>
      <c r="D14" s="34" t="s">
        <v>281</v>
      </c>
      <c r="E14" s="36" t="n">
        <v>0.5</v>
      </c>
      <c r="F14" s="142" t="n">
        <v>0</v>
      </c>
      <c r="G14" s="34" t="n">
        <v>500</v>
      </c>
      <c r="H14" s="36" t="n">
        <v>0.01</v>
      </c>
      <c r="I14" s="34" t="n">
        <v>30</v>
      </c>
      <c r="J14" s="34" t="n">
        <v>2000</v>
      </c>
      <c r="K14" s="34" t="n">
        <v>1</v>
      </c>
      <c r="L14" s="35" t="n">
        <f aca="false">RANDBETWEEN(1,40)/100</f>
        <v>0.39</v>
      </c>
      <c r="M14" s="35" t="n">
        <f aca="false">RANDBETWEEN(1,100)/100</f>
        <v>0.61</v>
      </c>
      <c r="N14" s="5" t="n">
        <v>34</v>
      </c>
      <c r="O14" s="34" t="n">
        <v>60</v>
      </c>
      <c r="P14" s="34" t="n">
        <v>1</v>
      </c>
      <c r="Q14" s="34" t="n">
        <v>1</v>
      </c>
      <c r="R14" s="34" t="n">
        <v>0.1</v>
      </c>
      <c r="S14" s="34" t="n">
        <v>0.1</v>
      </c>
      <c r="T14" s="35" t="n">
        <v>0.1</v>
      </c>
      <c r="U14" s="5" t="n">
        <v>999</v>
      </c>
      <c r="V14" s="35" t="n">
        <v>0</v>
      </c>
      <c r="W14" s="35" t="n">
        <v>0.06</v>
      </c>
      <c r="X14" s="35" t="n">
        <v>0.005</v>
      </c>
      <c r="Y14" s="35" t="n">
        <v>0.005</v>
      </c>
      <c r="Z14" s="5" t="s">
        <v>118</v>
      </c>
    </row>
    <row r="15" customFormat="false" ht="15.75" hidden="false" customHeight="false" outlineLevel="0" collapsed="false">
      <c r="B15" s="5" t="s">
        <v>322</v>
      </c>
      <c r="C15" s="5" t="s">
        <v>325</v>
      </c>
      <c r="D15" s="34" t="s">
        <v>281</v>
      </c>
      <c r="E15" s="36" t="n">
        <v>0.5</v>
      </c>
      <c r="F15" s="142" t="n">
        <v>0</v>
      </c>
      <c r="G15" s="34" t="n">
        <v>500</v>
      </c>
      <c r="H15" s="36" t="n">
        <v>0.01</v>
      </c>
      <c r="I15" s="34" t="n">
        <v>30</v>
      </c>
      <c r="J15" s="34" t="n">
        <v>2000</v>
      </c>
      <c r="K15" s="34" t="n">
        <v>1</v>
      </c>
      <c r="L15" s="35" t="n">
        <f aca="false">RANDBETWEEN(1,40)/100</f>
        <v>0.02</v>
      </c>
      <c r="M15" s="35" t="n">
        <f aca="false">RANDBETWEEN(1,100)/100</f>
        <v>0.36</v>
      </c>
      <c r="N15" s="5" t="n">
        <v>35</v>
      </c>
      <c r="O15" s="34" t="n">
        <v>60</v>
      </c>
      <c r="P15" s="34" t="n">
        <v>1</v>
      </c>
      <c r="Q15" s="34" t="n">
        <v>1</v>
      </c>
      <c r="R15" s="34" t="n">
        <v>0.1</v>
      </c>
      <c r="S15" s="34" t="n">
        <v>0.1</v>
      </c>
      <c r="T15" s="35" t="n">
        <v>0.1</v>
      </c>
      <c r="U15" s="5" t="n">
        <v>999</v>
      </c>
      <c r="V15" s="35" t="n">
        <v>0</v>
      </c>
      <c r="W15" s="35" t="n">
        <v>0.06</v>
      </c>
      <c r="X15" s="35" t="n">
        <v>0.005</v>
      </c>
      <c r="Y15" s="35" t="n">
        <v>0.005</v>
      </c>
      <c r="Z15" s="5" t="s">
        <v>118</v>
      </c>
    </row>
    <row r="16" customFormat="false" ht="15.75" hidden="false" customHeight="false" outlineLevel="0" collapsed="false">
      <c r="B16" s="5" t="s">
        <v>322</v>
      </c>
      <c r="C16" s="5" t="s">
        <v>326</v>
      </c>
      <c r="D16" s="34" t="s">
        <v>281</v>
      </c>
      <c r="E16" s="36" t="n">
        <v>0.5</v>
      </c>
      <c r="F16" s="142" t="n">
        <v>0</v>
      </c>
      <c r="G16" s="34" t="n">
        <v>500</v>
      </c>
      <c r="H16" s="36" t="n">
        <v>0.01</v>
      </c>
      <c r="I16" s="34" t="n">
        <v>30</v>
      </c>
      <c r="J16" s="34" t="n">
        <v>2000</v>
      </c>
      <c r="K16" s="34" t="n">
        <v>1</v>
      </c>
      <c r="L16" s="35" t="n">
        <f aca="false">RANDBETWEEN(1,40)/100</f>
        <v>0.08</v>
      </c>
      <c r="M16" s="35" t="n">
        <f aca="false">RANDBETWEEN(1,100)/100</f>
        <v>0.93</v>
      </c>
      <c r="N16" s="5" t="n">
        <v>36</v>
      </c>
      <c r="O16" s="34" t="n">
        <v>60</v>
      </c>
      <c r="P16" s="34" t="n">
        <v>1</v>
      </c>
      <c r="Q16" s="34" t="n">
        <v>1</v>
      </c>
      <c r="R16" s="34" t="n">
        <v>0.1</v>
      </c>
      <c r="S16" s="34" t="n">
        <v>0.1</v>
      </c>
      <c r="T16" s="35" t="n">
        <v>0.1</v>
      </c>
      <c r="U16" s="5" t="n">
        <v>999</v>
      </c>
      <c r="V16" s="35" t="n">
        <v>0</v>
      </c>
      <c r="W16" s="35" t="n">
        <v>0.06</v>
      </c>
      <c r="X16" s="35" t="n">
        <v>0.005</v>
      </c>
      <c r="Y16" s="35" t="n">
        <v>0.005</v>
      </c>
      <c r="Z16" s="5" t="s">
        <v>118</v>
      </c>
    </row>
    <row r="17" customFormat="false" ht="15.75" hidden="false" customHeight="false" outlineLevel="0" collapsed="false">
      <c r="B17" s="5" t="s">
        <v>322</v>
      </c>
      <c r="C17" s="5" t="s">
        <v>327</v>
      </c>
      <c r="D17" s="34" t="s">
        <v>281</v>
      </c>
      <c r="E17" s="36" t="n">
        <v>0.5</v>
      </c>
      <c r="F17" s="142" t="n">
        <v>0</v>
      </c>
      <c r="G17" s="151" t="n">
        <f aca="false">52318/P17</f>
        <v>523.18</v>
      </c>
      <c r="H17" s="37" t="n">
        <v>0.01</v>
      </c>
      <c r="I17" s="151" t="n">
        <f aca="false">I13*G17/G13/Q17</f>
        <v>3.6350039844606</v>
      </c>
      <c r="J17" s="151" t="n">
        <f aca="false">J13*G17/G13/Q17</f>
        <v>199.338928180098</v>
      </c>
      <c r="K17" s="34" t="n">
        <v>1</v>
      </c>
      <c r="L17" s="35" t="n">
        <f aca="false">RANDBETWEEN(1,40)/100</f>
        <v>0.33</v>
      </c>
      <c r="M17" s="35" t="n">
        <f aca="false">RANDBETWEEN(1,100)/100</f>
        <v>0.52</v>
      </c>
      <c r="N17" s="5" t="n">
        <v>37</v>
      </c>
      <c r="O17" s="34" t="n">
        <v>60</v>
      </c>
      <c r="P17" s="32" t="n">
        <v>100</v>
      </c>
      <c r="Q17" s="32" t="n">
        <v>1</v>
      </c>
      <c r="R17" s="32" t="n">
        <v>0</v>
      </c>
      <c r="S17" s="32" t="n">
        <v>0</v>
      </c>
      <c r="T17" s="35" t="n">
        <v>0.1</v>
      </c>
      <c r="U17" s="5" t="n">
        <v>999</v>
      </c>
      <c r="V17" s="35" t="n">
        <v>0</v>
      </c>
      <c r="W17" s="35" t="n">
        <v>0.06</v>
      </c>
      <c r="X17" s="35" t="n">
        <v>0.005</v>
      </c>
      <c r="Y17" s="35" t="n">
        <v>0.005</v>
      </c>
      <c r="Z17" s="5" t="s">
        <v>118</v>
      </c>
    </row>
    <row r="18" customFormat="false" ht="15.75" hidden="false" customHeight="false" outlineLevel="0" collapsed="false">
      <c r="B18" s="5" t="s">
        <v>322</v>
      </c>
      <c r="C18" s="5" t="s">
        <v>328</v>
      </c>
      <c r="D18" s="34" t="s">
        <v>281</v>
      </c>
      <c r="E18" s="36" t="n">
        <v>0.5</v>
      </c>
      <c r="F18" s="142" t="n">
        <v>0</v>
      </c>
      <c r="G18" s="34" t="n">
        <v>500</v>
      </c>
      <c r="H18" s="36" t="n">
        <v>0.01</v>
      </c>
      <c r="I18" s="34" t="n">
        <v>30</v>
      </c>
      <c r="J18" s="34" t="n">
        <v>2000</v>
      </c>
      <c r="K18" s="34" t="n">
        <v>1</v>
      </c>
      <c r="L18" s="35" t="n">
        <f aca="false">RANDBETWEEN(1,40)/100</f>
        <v>0.07</v>
      </c>
      <c r="M18" s="35" t="n">
        <f aca="false">RANDBETWEEN(1,100)/100</f>
        <v>0.5</v>
      </c>
      <c r="N18" s="5" t="n">
        <v>38</v>
      </c>
      <c r="O18" s="34" t="n">
        <v>60</v>
      </c>
      <c r="P18" s="34" t="n">
        <v>1</v>
      </c>
      <c r="Q18" s="34" t="n">
        <v>1</v>
      </c>
      <c r="R18" s="34" t="n">
        <v>0.1</v>
      </c>
      <c r="S18" s="34" t="n">
        <v>0.1</v>
      </c>
      <c r="T18" s="35" t="n">
        <v>0.1</v>
      </c>
      <c r="U18" s="5" t="n">
        <v>999</v>
      </c>
      <c r="V18" s="35" t="n">
        <v>0</v>
      </c>
      <c r="W18" s="35" t="n">
        <v>0.06</v>
      </c>
      <c r="X18" s="35" t="n">
        <v>0.005</v>
      </c>
      <c r="Y18" s="35" t="n">
        <v>0.005</v>
      </c>
      <c r="Z18" s="5" t="s">
        <v>118</v>
      </c>
    </row>
    <row r="19" customFormat="false" ht="15.75" hidden="false" customHeight="false" outlineLevel="0" collapsed="false">
      <c r="B19" s="5" t="s">
        <v>329</v>
      </c>
      <c r="C19" s="5" t="s">
        <v>330</v>
      </c>
      <c r="D19" s="5" t="s">
        <v>281</v>
      </c>
      <c r="E19" s="35" t="n">
        <v>1</v>
      </c>
      <c r="F19" s="142" t="n">
        <v>0</v>
      </c>
      <c r="G19" s="32" t="n">
        <f aca="false">7875000/P19</f>
        <v>1312.5</v>
      </c>
      <c r="H19" s="37" t="n">
        <v>0.03</v>
      </c>
      <c r="I19" s="32" t="n">
        <f aca="false">29500/Q19</f>
        <v>29.5</v>
      </c>
      <c r="J19" s="32" t="n">
        <f aca="false">2400000/Q19</f>
        <v>2400</v>
      </c>
      <c r="K19" s="34" t="n">
        <v>1</v>
      </c>
      <c r="L19" s="35" t="n">
        <f aca="false">RANDBETWEEN(1,40)/100</f>
        <v>0.11</v>
      </c>
      <c r="M19" s="35" t="n">
        <f aca="false">RANDBETWEEN(1,100)/100</f>
        <v>0.93</v>
      </c>
      <c r="N19" s="5" t="n">
        <v>30</v>
      </c>
      <c r="O19" s="5" t="n">
        <v>25</v>
      </c>
      <c r="P19" s="32" t="n">
        <v>6000</v>
      </c>
      <c r="Q19" s="32" t="n">
        <v>1000</v>
      </c>
      <c r="R19" s="5" t="n">
        <v>0.1</v>
      </c>
      <c r="S19" s="5" t="n">
        <v>0</v>
      </c>
      <c r="T19" s="35" t="n">
        <v>0.15</v>
      </c>
      <c r="U19" s="40" t="n">
        <v>15</v>
      </c>
      <c r="V19" s="33" t="n">
        <v>0.12</v>
      </c>
      <c r="W19" s="35" t="n">
        <v>0.06</v>
      </c>
      <c r="X19" s="35" t="n">
        <v>0.03</v>
      </c>
      <c r="Y19" s="35" t="n">
        <v>0.005</v>
      </c>
      <c r="Z19" s="5" t="s">
        <v>102</v>
      </c>
    </row>
    <row r="20" customFormat="false" ht="15.75" hidden="false" customHeight="false" outlineLevel="0" collapsed="false">
      <c r="B20" s="5" t="s">
        <v>331</v>
      </c>
      <c r="C20" s="5" t="s">
        <v>319</v>
      </c>
      <c r="D20" s="5" t="s">
        <v>281</v>
      </c>
      <c r="E20" s="35" t="n">
        <v>1</v>
      </c>
      <c r="F20" s="142" t="n">
        <v>0</v>
      </c>
      <c r="G20" s="172" t="n">
        <f aca="false">1300000/P20</f>
        <v>1300</v>
      </c>
      <c r="H20" s="37" t="n">
        <v>0.01</v>
      </c>
      <c r="I20" s="32" t="n">
        <f aca="false">4470/Q20</f>
        <v>4.47</v>
      </c>
      <c r="J20" s="32" t="n">
        <f aca="false">388500/Q20</f>
        <v>388.5</v>
      </c>
      <c r="K20" s="34" t="n">
        <v>1</v>
      </c>
      <c r="L20" s="35" t="n">
        <f aca="false">RANDBETWEEN(1,40)/100</f>
        <v>0.13</v>
      </c>
      <c r="M20" s="35" t="n">
        <f aca="false">RANDBETWEEN(1,100)/100</f>
        <v>0.95</v>
      </c>
      <c r="N20" s="5" t="n">
        <v>35</v>
      </c>
      <c r="O20" s="5" t="n">
        <v>25</v>
      </c>
      <c r="P20" s="32" t="n">
        <v>1000</v>
      </c>
      <c r="Q20" s="32" t="n">
        <v>1000</v>
      </c>
      <c r="R20" s="5" t="n">
        <v>0.1</v>
      </c>
      <c r="S20" s="5" t="n">
        <v>0.05</v>
      </c>
      <c r="T20" s="35" t="n">
        <v>0.12</v>
      </c>
      <c r="U20" s="40" t="n">
        <v>15</v>
      </c>
      <c r="V20" s="33" t="n">
        <v>0.12</v>
      </c>
      <c r="W20" s="35" t="n">
        <v>0.06</v>
      </c>
      <c r="X20" s="35" t="n">
        <v>0.05</v>
      </c>
      <c r="Y20" s="35" t="n">
        <v>0.005</v>
      </c>
      <c r="Z20" s="5" t="s">
        <v>102</v>
      </c>
    </row>
    <row r="21" customFormat="false" ht="15.75" hidden="false" customHeight="false" outlineLevel="0" collapsed="false">
      <c r="B21" s="5" t="s">
        <v>331</v>
      </c>
      <c r="C21" s="5" t="s">
        <v>320</v>
      </c>
      <c r="D21" s="5" t="s">
        <v>281</v>
      </c>
      <c r="E21" s="35" t="n">
        <v>1</v>
      </c>
      <c r="F21" s="142" t="n">
        <v>0</v>
      </c>
      <c r="G21" s="172" t="n">
        <f aca="false">1300000/P21</f>
        <v>1300</v>
      </c>
      <c r="H21" s="37" t="n">
        <v>0.01</v>
      </c>
      <c r="I21" s="32" t="n">
        <f aca="false">4470/Q21</f>
        <v>4.47</v>
      </c>
      <c r="J21" s="32" t="n">
        <f aca="false">388500/Q21</f>
        <v>388.5</v>
      </c>
      <c r="K21" s="34" t="n">
        <v>1</v>
      </c>
      <c r="L21" s="35" t="n">
        <f aca="false">RANDBETWEEN(1,40)/100</f>
        <v>0.39</v>
      </c>
      <c r="M21" s="35" t="n">
        <f aca="false">RANDBETWEEN(1,100)/100</f>
        <v>0.24</v>
      </c>
      <c r="N21" s="5" t="n">
        <v>35</v>
      </c>
      <c r="O21" s="5" t="n">
        <v>25</v>
      </c>
      <c r="P21" s="32" t="n">
        <v>1000</v>
      </c>
      <c r="Q21" s="32" t="n">
        <v>1000</v>
      </c>
      <c r="R21" s="5" t="n">
        <v>0.1</v>
      </c>
      <c r="S21" s="5" t="n">
        <v>0.05</v>
      </c>
      <c r="T21" s="35" t="n">
        <v>0.12</v>
      </c>
      <c r="U21" s="40" t="n">
        <v>15</v>
      </c>
      <c r="V21" s="33" t="n">
        <v>0.12</v>
      </c>
      <c r="W21" s="35" t="n">
        <v>0.06</v>
      </c>
      <c r="X21" s="35" t="n">
        <v>0.05</v>
      </c>
      <c r="Y21" s="35" t="n">
        <v>0.005</v>
      </c>
      <c r="Z21" s="5" t="s">
        <v>102</v>
      </c>
    </row>
    <row r="22" customFormat="false" ht="15.75" hidden="false" customHeight="false" outlineLevel="0" collapsed="false">
      <c r="B22" s="5" t="s">
        <v>331</v>
      </c>
      <c r="C22" s="5" t="s">
        <v>300</v>
      </c>
      <c r="D22" s="5" t="s">
        <v>281</v>
      </c>
      <c r="E22" s="35" t="n">
        <v>1</v>
      </c>
      <c r="F22" s="142" t="n">
        <v>0</v>
      </c>
      <c r="G22" s="178" t="n">
        <v>1118.77</v>
      </c>
      <c r="H22" s="146" t="n">
        <v>0.0125</v>
      </c>
      <c r="I22" s="32" t="n">
        <f aca="false">135/Q22</f>
        <v>22.5</v>
      </c>
      <c r="J22" s="32" t="n">
        <f aca="false">9590/Q22</f>
        <v>1598.33333333333</v>
      </c>
      <c r="K22" s="34" t="n">
        <v>1</v>
      </c>
      <c r="L22" s="35" t="n">
        <f aca="false">RANDBETWEEN(1,40)/100</f>
        <v>0.15</v>
      </c>
      <c r="M22" s="35" t="n">
        <f aca="false">RANDBETWEEN(1,100)/100</f>
        <v>0.78</v>
      </c>
      <c r="N22" s="5" t="n">
        <v>35</v>
      </c>
      <c r="O22" s="32" t="n">
        <v>27</v>
      </c>
      <c r="P22" s="32" t="n">
        <v>1</v>
      </c>
      <c r="Q22" s="32" t="n">
        <v>6</v>
      </c>
      <c r="R22" s="40" t="n">
        <v>0</v>
      </c>
      <c r="S22" s="32" t="n">
        <v>0.188</v>
      </c>
      <c r="T22" s="35" t="n">
        <v>0.12</v>
      </c>
      <c r="U22" s="5" t="n">
        <v>999</v>
      </c>
      <c r="V22" s="35" t="n">
        <v>0</v>
      </c>
      <c r="W22" s="35" t="n">
        <v>0.06</v>
      </c>
      <c r="X22" s="35" t="n">
        <v>0.05</v>
      </c>
      <c r="Y22" s="35" t="n">
        <v>0.005</v>
      </c>
      <c r="Z22" s="5" t="s">
        <v>102</v>
      </c>
    </row>
    <row r="27" customFormat="false" ht="15" hidden="false" customHeight="false" outlineLevel="0" collapsed="false">
      <c r="A27" s="44" t="s">
        <v>250</v>
      </c>
    </row>
    <row r="47" customFormat="false" ht="15" hidden="false" customHeight="false" outlineLevel="0" collapsed="false">
      <c r="A47" s="45" t="s">
        <v>133</v>
      </c>
      <c r="B47" s="45" t="s">
        <v>31</v>
      </c>
    </row>
    <row r="48" customFormat="false" ht="15" hidden="false" customHeight="false" outlineLevel="0" collapsed="false">
      <c r="A48" s="46" t="s">
        <v>308</v>
      </c>
      <c r="B48" s="46" t="s">
        <v>138</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G27"/>
  <sheetViews>
    <sheetView showFormulas="false" showGridLines="true" showRowColHeaders="true" showZeros="true" rightToLeft="false" tabSelected="false" showOutlineSymbols="true" defaultGridColor="true" view="normal" topLeftCell="A1" colorId="64" zoomScale="141" zoomScaleNormal="141" zoomScalePageLayoutView="100" workbookViewId="0">
      <selection pane="topLeft" activeCell="AF9" activeCellId="0" sqref="AF9"/>
    </sheetView>
  </sheetViews>
  <sheetFormatPr defaultColWidth="8.5078125" defaultRowHeight="15" zeroHeight="false" outlineLevelRow="0" outlineLevelCol="0"/>
  <cols>
    <col collapsed="false" customWidth="true" hidden="false" outlineLevel="0" max="2" min="2" style="0" width="9.33"/>
    <col collapsed="false" customWidth="true" hidden="false" outlineLevel="0" max="5" min="5" style="0" width="13.33"/>
    <col collapsed="false" customWidth="true" hidden="false" outlineLevel="0" max="6" min="6" style="0" width="16"/>
    <col collapsed="false" customWidth="true" hidden="false" outlineLevel="0" max="7" min="7" style="0" width="16.66"/>
    <col collapsed="false" customWidth="true" hidden="false" outlineLevel="0" max="8" min="8" style="0" width="14.33"/>
    <col collapsed="false" customWidth="true" hidden="false" outlineLevel="0" max="9" min="9" style="0" width="16.33"/>
    <col collapsed="false" customWidth="true" hidden="false" outlineLevel="0" max="10" min="10" style="0" width="11.33"/>
    <col collapsed="false" customWidth="true" hidden="false" outlineLevel="0" max="14" min="11" style="0" width="15.66"/>
    <col collapsed="false" customWidth="true" hidden="false" outlineLevel="0" max="15" min="15" style="0" width="14.5"/>
    <col collapsed="false" customWidth="true" hidden="false" outlineLevel="0" max="17" min="16" style="0" width="15.33"/>
    <col collapsed="false" customWidth="true" hidden="false" outlineLevel="0" max="19" min="18" style="0" width="15.66"/>
    <col collapsed="false" customWidth="true" hidden="false" outlineLevel="0" max="20" min="20" style="0" width="12"/>
    <col collapsed="false" customWidth="true" hidden="false" outlineLevel="0" max="21" min="21" style="0" width="15.5"/>
    <col collapsed="false" customWidth="true" hidden="false" outlineLevel="0" max="23" min="22" style="0" width="19.67"/>
    <col collapsed="false" customWidth="true" hidden="false" outlineLevel="0" max="24" min="24" style="0" width="18.33"/>
    <col collapsed="false" customWidth="true" hidden="false" outlineLevel="0" max="25" min="25" style="0" width="14.66"/>
    <col collapsed="false" customWidth="true" hidden="false" outlineLevel="0" max="33" min="26" style="0" width="30.33"/>
    <col collapsed="false" customWidth="true" hidden="false" outlineLevel="0" max="34" min="34" style="0" width="13.51"/>
  </cols>
  <sheetData>
    <row r="1" s="27" customFormat="true" ht="48" hidden="false" customHeight="false" outlineLevel="0" collapsed="false">
      <c r="A1" s="26" t="s">
        <v>31</v>
      </c>
      <c r="D1" s="27" t="s">
        <v>159</v>
      </c>
      <c r="E1" s="27" t="s">
        <v>159</v>
      </c>
      <c r="F1" s="27" t="s">
        <v>159</v>
      </c>
      <c r="G1" s="27" t="s">
        <v>159</v>
      </c>
      <c r="H1" s="27" t="s">
        <v>159</v>
      </c>
      <c r="O1" s="17" t="s">
        <v>332</v>
      </c>
      <c r="P1" s="27" t="s">
        <v>250</v>
      </c>
      <c r="Z1" s="27" t="s">
        <v>250</v>
      </c>
    </row>
    <row r="2" s="27" customFormat="true" ht="33" hidden="false" customHeight="false" outlineLevel="0" collapsed="false">
      <c r="A2" s="28" t="s">
        <v>246</v>
      </c>
      <c r="B2" s="29" t="s">
        <v>79</v>
      </c>
      <c r="C2" s="29" t="s">
        <v>80</v>
      </c>
      <c r="D2" s="29" t="s">
        <v>333</v>
      </c>
      <c r="E2" s="29" t="s">
        <v>334</v>
      </c>
      <c r="F2" s="29" t="s">
        <v>335</v>
      </c>
      <c r="G2" s="29" t="s">
        <v>336</v>
      </c>
      <c r="H2" s="30" t="s">
        <v>84</v>
      </c>
      <c r="I2" s="30" t="s">
        <v>85</v>
      </c>
      <c r="J2" s="30" t="s">
        <v>86</v>
      </c>
      <c r="K2" s="30" t="s">
        <v>87</v>
      </c>
      <c r="L2" s="30" t="s">
        <v>88</v>
      </c>
      <c r="M2" s="30" t="s">
        <v>23</v>
      </c>
      <c r="N2" s="30" t="s">
        <v>25</v>
      </c>
      <c r="O2" s="29" t="s">
        <v>27</v>
      </c>
      <c r="P2" s="29" t="s">
        <v>89</v>
      </c>
      <c r="Q2" s="29" t="s">
        <v>90</v>
      </c>
      <c r="R2" s="29" t="s">
        <v>91</v>
      </c>
      <c r="S2" s="29" t="s">
        <v>33</v>
      </c>
      <c r="T2" s="29" t="s">
        <v>36</v>
      </c>
      <c r="U2" s="29" t="s">
        <v>92</v>
      </c>
      <c r="V2" s="29" t="s">
        <v>93</v>
      </c>
      <c r="W2" s="29" t="s">
        <v>94</v>
      </c>
      <c r="X2" s="29" t="s">
        <v>95</v>
      </c>
      <c r="Y2" s="29" t="s">
        <v>96</v>
      </c>
      <c r="Z2" s="29" t="s">
        <v>97</v>
      </c>
      <c r="AA2" s="29" t="s">
        <v>98</v>
      </c>
      <c r="AB2" s="29" t="s">
        <v>337</v>
      </c>
      <c r="AC2" s="29" t="s">
        <v>338</v>
      </c>
      <c r="AD2" s="29" t="s">
        <v>339</v>
      </c>
      <c r="AE2" s="29" t="s">
        <v>340</v>
      </c>
      <c r="AF2" s="29" t="s">
        <v>341</v>
      </c>
      <c r="AG2" s="29" t="s">
        <v>342</v>
      </c>
    </row>
    <row r="3" customFormat="false" ht="15.75" hidden="false" customHeight="false" outlineLevel="0" collapsed="false">
      <c r="B3" s="5" t="s">
        <v>343</v>
      </c>
      <c r="C3" s="5" t="s">
        <v>344</v>
      </c>
      <c r="D3" s="173" t="n">
        <v>0.8</v>
      </c>
      <c r="E3" s="179" t="n">
        <v>0.05</v>
      </c>
      <c r="F3" s="180" t="n">
        <v>0.95</v>
      </c>
      <c r="G3" s="179" t="n">
        <v>1.02</v>
      </c>
      <c r="H3" s="181" t="n">
        <v>460</v>
      </c>
      <c r="I3" s="74" t="n">
        <v>0.01</v>
      </c>
      <c r="J3" s="182" t="n">
        <v>0.5625</v>
      </c>
      <c r="K3" s="183" t="n">
        <v>48.33333333</v>
      </c>
      <c r="L3" s="18" t="n">
        <v>1</v>
      </c>
      <c r="M3" s="35" t="n">
        <f aca="false">RANDBETWEEN(1,40)/100</f>
        <v>0.11</v>
      </c>
      <c r="N3" s="35" t="n">
        <f aca="false">RANDBETWEEN(1,100)/100</f>
        <v>0.71</v>
      </c>
      <c r="O3" s="5" t="n">
        <v>4</v>
      </c>
      <c r="P3" s="32" t="n">
        <v>-1</v>
      </c>
      <c r="Q3" s="184" t="n">
        <v>1</v>
      </c>
      <c r="R3" s="184" t="n">
        <v>1</v>
      </c>
      <c r="S3" s="181" t="n">
        <v>0</v>
      </c>
      <c r="T3" s="181" t="n">
        <v>0</v>
      </c>
      <c r="U3" s="185" t="n">
        <v>0</v>
      </c>
      <c r="V3" s="186" t="n">
        <v>999</v>
      </c>
      <c r="W3" s="35" t="n">
        <v>0</v>
      </c>
      <c r="X3" s="108" t="n">
        <v>0</v>
      </c>
      <c r="Y3" s="108" t="n">
        <v>0.06</v>
      </c>
      <c r="Z3" s="108" t="n">
        <v>0.01</v>
      </c>
      <c r="AA3" s="187" t="s">
        <v>118</v>
      </c>
      <c r="AB3" s="188" t="n">
        <v>4.92E-007</v>
      </c>
      <c r="AC3" s="188" t="n">
        <v>-0.000293</v>
      </c>
      <c r="AD3" s="188" t="n">
        <v>0.0435</v>
      </c>
      <c r="AE3" s="188" t="n">
        <v>-0.0067</v>
      </c>
      <c r="AF3" s="188" t="n">
        <v>2.35</v>
      </c>
      <c r="AG3" s="188" t="n">
        <v>19.3</v>
      </c>
    </row>
    <row r="4" customFormat="false" ht="15.75" hidden="false" customHeight="false" outlineLevel="0" collapsed="false">
      <c r="B4" s="5" t="s">
        <v>343</v>
      </c>
      <c r="C4" s="5" t="s">
        <v>345</v>
      </c>
      <c r="D4" s="189" t="n">
        <v>0.8</v>
      </c>
      <c r="E4" s="190" t="n">
        <v>0.05</v>
      </c>
      <c r="F4" s="191" t="n">
        <v>0.95</v>
      </c>
      <c r="G4" s="190" t="n">
        <v>1.02</v>
      </c>
      <c r="H4" s="192" t="n">
        <v>460</v>
      </c>
      <c r="I4" s="79" t="n">
        <v>0.01</v>
      </c>
      <c r="J4" s="193" t="n">
        <v>2.6</v>
      </c>
      <c r="K4" s="193" t="n">
        <v>106</v>
      </c>
      <c r="L4" s="194" t="n">
        <v>1</v>
      </c>
      <c r="M4" s="35" t="n">
        <f aca="false">RANDBETWEEN(1,40)/100</f>
        <v>0.24</v>
      </c>
      <c r="N4" s="35" t="n">
        <f aca="false">RANDBETWEEN(1,100)/100</f>
        <v>0.64</v>
      </c>
      <c r="O4" s="5" t="n">
        <v>5</v>
      </c>
      <c r="P4" s="195" t="n">
        <v>-1</v>
      </c>
      <c r="Q4" s="196" t="n">
        <v>1</v>
      </c>
      <c r="R4" s="196" t="n">
        <v>1</v>
      </c>
      <c r="S4" s="192" t="n">
        <v>0</v>
      </c>
      <c r="T4" s="192" t="n">
        <v>0</v>
      </c>
      <c r="U4" s="197" t="n">
        <v>0</v>
      </c>
      <c r="V4" s="198" t="n">
        <v>999</v>
      </c>
      <c r="W4" s="199" t="n">
        <v>0</v>
      </c>
      <c r="X4" s="170" t="n">
        <v>0</v>
      </c>
      <c r="Y4" s="170" t="n">
        <v>0.06</v>
      </c>
      <c r="Z4" s="170" t="n">
        <v>0.01</v>
      </c>
      <c r="AA4" s="126" t="s">
        <v>118</v>
      </c>
      <c r="AB4" s="188"/>
      <c r="AC4" s="188" t="n">
        <v>-0.000351</v>
      </c>
      <c r="AD4" s="188" t="n">
        <v>0.0523</v>
      </c>
      <c r="AE4" s="188" t="n">
        <v>-0.0067</v>
      </c>
      <c r="AF4" s="188" t="n">
        <v>2.35</v>
      </c>
      <c r="AG4" s="188" t="n">
        <v>19.3</v>
      </c>
    </row>
    <row r="5" customFormat="false" ht="15.75" hidden="false" customHeight="false" outlineLevel="0" collapsed="false">
      <c r="B5" s="5" t="s">
        <v>343</v>
      </c>
      <c r="C5" s="5" t="s">
        <v>346</v>
      </c>
      <c r="D5" s="189" t="n">
        <v>0.8</v>
      </c>
      <c r="E5" s="190" t="n">
        <v>0.05</v>
      </c>
      <c r="F5" s="191" t="n">
        <v>0.95</v>
      </c>
      <c r="G5" s="190" t="n">
        <v>1.02</v>
      </c>
      <c r="H5" s="192" t="n">
        <v>460</v>
      </c>
      <c r="I5" s="79" t="n">
        <v>0.01</v>
      </c>
      <c r="J5" s="200" t="n">
        <v>1.012</v>
      </c>
      <c r="K5" s="200" t="n">
        <v>70</v>
      </c>
      <c r="L5" s="194" t="n">
        <v>1</v>
      </c>
      <c r="M5" s="35" t="n">
        <f aca="false">RANDBETWEEN(1,40)/100</f>
        <v>0.3</v>
      </c>
      <c r="N5" s="35" t="n">
        <f aca="false">RANDBETWEEN(1,100)/100</f>
        <v>0.45</v>
      </c>
      <c r="O5" s="5" t="n">
        <v>6</v>
      </c>
      <c r="P5" s="195" t="n">
        <v>-1</v>
      </c>
      <c r="Q5" s="196" t="n">
        <v>1</v>
      </c>
      <c r="R5" s="196" t="n">
        <v>1</v>
      </c>
      <c r="S5" s="192" t="n">
        <v>0</v>
      </c>
      <c r="T5" s="192" t="n">
        <v>0</v>
      </c>
      <c r="U5" s="197" t="n">
        <v>0</v>
      </c>
      <c r="V5" s="198" t="n">
        <v>999</v>
      </c>
      <c r="W5" s="199" t="n">
        <v>0</v>
      </c>
      <c r="X5" s="170" t="n">
        <v>0</v>
      </c>
      <c r="Y5" s="170" t="n">
        <v>0.06</v>
      </c>
      <c r="Z5" s="170" t="n">
        <v>0.01</v>
      </c>
      <c r="AA5" s="126" t="s">
        <v>118</v>
      </c>
      <c r="AB5" s="188" t="n">
        <v>2.95E-006</v>
      </c>
      <c r="AC5" s="188" t="n">
        <v>-0.00176</v>
      </c>
      <c r="AD5" s="188" t="n">
        <v>0.261</v>
      </c>
      <c r="AE5" s="188" t="n">
        <v>-0.0067</v>
      </c>
      <c r="AF5" s="188" t="n">
        <v>2.35</v>
      </c>
      <c r="AG5" s="188" t="n">
        <v>19.3</v>
      </c>
    </row>
    <row r="6" customFormat="false" ht="15.75" hidden="false" customHeight="false" outlineLevel="0" collapsed="false">
      <c r="B6" s="5" t="s">
        <v>347</v>
      </c>
      <c r="C6" s="5" t="s">
        <v>348</v>
      </c>
      <c r="D6" s="189" t="n">
        <v>0.5</v>
      </c>
      <c r="E6" s="190" t="n">
        <v>0.1</v>
      </c>
      <c r="F6" s="191" t="n">
        <v>0.92</v>
      </c>
      <c r="G6" s="190" t="n">
        <v>1.14</v>
      </c>
      <c r="H6" s="192" t="n">
        <v>780</v>
      </c>
      <c r="I6" s="79" t="n">
        <v>0.01</v>
      </c>
      <c r="J6" s="201" t="n">
        <v>1.53</v>
      </c>
      <c r="K6" s="201" t="n">
        <v>101</v>
      </c>
      <c r="L6" s="194" t="n">
        <v>1</v>
      </c>
      <c r="M6" s="35" t="n">
        <f aca="false">RANDBETWEEN(1,40)/100</f>
        <v>0.18</v>
      </c>
      <c r="N6" s="35" t="n">
        <f aca="false">RANDBETWEEN(1,100)/100</f>
        <v>0.3</v>
      </c>
      <c r="O6" s="5" t="n">
        <v>12.5</v>
      </c>
      <c r="P6" s="195" t="n">
        <v>-1</v>
      </c>
      <c r="Q6" s="196" t="n">
        <v>1</v>
      </c>
      <c r="R6" s="196" t="n">
        <v>1</v>
      </c>
      <c r="S6" s="192" t="n">
        <v>0</v>
      </c>
      <c r="T6" s="192" t="n">
        <v>0</v>
      </c>
      <c r="U6" s="197" t="n">
        <v>0</v>
      </c>
      <c r="V6" s="198" t="n">
        <v>999</v>
      </c>
      <c r="W6" s="199" t="n">
        <v>0</v>
      </c>
      <c r="X6" s="170" t="n">
        <v>0</v>
      </c>
      <c r="Y6" s="170" t="n">
        <v>0.06</v>
      </c>
      <c r="Z6" s="170" t="n">
        <v>0.01</v>
      </c>
      <c r="AA6" s="126" t="s">
        <v>118</v>
      </c>
      <c r="AB6" s="202" t="n">
        <v>2.95E-006</v>
      </c>
      <c r="AC6" s="202" t="n">
        <v>-0.00176</v>
      </c>
      <c r="AD6" s="202" t="n">
        <v>0.261</v>
      </c>
      <c r="AE6" s="202" t="n">
        <v>-0.0067</v>
      </c>
      <c r="AF6" s="202" t="n">
        <v>2.35</v>
      </c>
      <c r="AG6" s="202" t="n">
        <v>19.3</v>
      </c>
    </row>
    <row r="7" customFormat="false" ht="15.75" hidden="false" customHeight="false" outlineLevel="0" collapsed="false">
      <c r="B7" s="5" t="s">
        <v>349</v>
      </c>
      <c r="C7" s="5" t="s">
        <v>350</v>
      </c>
      <c r="D7" s="189" t="n">
        <v>0.9</v>
      </c>
      <c r="E7" s="190" t="n">
        <v>0.1</v>
      </c>
      <c r="F7" s="191" t="n">
        <v>0.96</v>
      </c>
      <c r="G7" s="190" t="n">
        <v>1.03</v>
      </c>
      <c r="H7" s="192" t="n">
        <v>500</v>
      </c>
      <c r="I7" s="79" t="n">
        <v>0.01</v>
      </c>
      <c r="J7" s="200" t="n">
        <v>6.08</v>
      </c>
      <c r="K7" s="200" t="n">
        <v>16.32084444</v>
      </c>
      <c r="L7" s="194" t="n">
        <v>1</v>
      </c>
      <c r="M7" s="35" t="n">
        <f aca="false">RANDBETWEEN(1,40)/100</f>
        <v>0.26</v>
      </c>
      <c r="N7" s="35" t="n">
        <f aca="false">RANDBETWEEN(1,100)/100</f>
        <v>0.82</v>
      </c>
      <c r="O7" s="5" t="n">
        <v>11.1111111111111</v>
      </c>
      <c r="P7" s="195" t="n">
        <v>-1</v>
      </c>
      <c r="Q7" s="196" t="n">
        <v>1</v>
      </c>
      <c r="R7" s="196" t="n">
        <v>1</v>
      </c>
      <c r="S7" s="192" t="n">
        <v>0</v>
      </c>
      <c r="T7" s="192" t="n">
        <v>0</v>
      </c>
      <c r="U7" s="197" t="n">
        <v>0</v>
      </c>
      <c r="V7" s="198" t="n">
        <v>999</v>
      </c>
      <c r="W7" s="199" t="n">
        <v>0</v>
      </c>
      <c r="X7" s="170" t="n">
        <v>0</v>
      </c>
      <c r="Y7" s="170" t="n">
        <v>0.06</v>
      </c>
      <c r="Z7" s="170" t="n">
        <v>0.01</v>
      </c>
      <c r="AA7" s="126" t="s">
        <v>118</v>
      </c>
      <c r="AB7" s="202" t="n">
        <v>2.95E-006</v>
      </c>
      <c r="AC7" s="202" t="n">
        <v>-0.00176</v>
      </c>
      <c r="AD7" s="202" t="n">
        <v>0.261</v>
      </c>
      <c r="AE7" s="202" t="n">
        <v>-0.0067</v>
      </c>
      <c r="AF7" s="202" t="n">
        <v>2.35</v>
      </c>
      <c r="AG7" s="202" t="n">
        <v>19.3</v>
      </c>
    </row>
    <row r="8" customFormat="false" ht="15.75" hidden="false" customHeight="false" outlineLevel="0" collapsed="false">
      <c r="B8" s="5" t="s">
        <v>351</v>
      </c>
      <c r="C8" s="5" t="s">
        <v>351</v>
      </c>
      <c r="D8" s="173" t="n">
        <v>1</v>
      </c>
      <c r="E8" s="179" t="n">
        <v>0.1</v>
      </c>
      <c r="F8" s="203" t="n">
        <v>0.96</v>
      </c>
      <c r="G8" s="111" t="n">
        <v>0</v>
      </c>
      <c r="H8" s="111" t="n">
        <v>1000</v>
      </c>
      <c r="I8" s="108" t="n">
        <v>0.0079</v>
      </c>
      <c r="J8" s="111" t="n">
        <v>41.1</v>
      </c>
      <c r="K8" s="111" t="n">
        <v>2970</v>
      </c>
      <c r="L8" s="194" t="n">
        <v>1</v>
      </c>
      <c r="M8" s="35" t="n">
        <f aca="false">RANDBETWEEN(1,40)/100</f>
        <v>0.04</v>
      </c>
      <c r="N8" s="35" t="n">
        <f aca="false">RANDBETWEEN(1,100)/100</f>
        <v>0.24</v>
      </c>
      <c r="O8" s="5" t="n">
        <v>12.1111111111111</v>
      </c>
      <c r="P8" s="151" t="n">
        <v>25</v>
      </c>
      <c r="Q8" s="181" t="n">
        <v>1</v>
      </c>
      <c r="R8" s="204" t="n">
        <v>1</v>
      </c>
      <c r="S8" s="204" t="n">
        <v>0</v>
      </c>
      <c r="T8" s="204" t="n">
        <v>0</v>
      </c>
      <c r="U8" s="185" t="n">
        <v>0</v>
      </c>
      <c r="V8" s="186" t="n">
        <v>999</v>
      </c>
      <c r="W8" s="175" t="n">
        <v>0</v>
      </c>
      <c r="X8" s="74" t="n">
        <v>0</v>
      </c>
      <c r="Y8" s="108" t="n">
        <v>0.06</v>
      </c>
      <c r="Z8" s="108" t="n">
        <v>0.01</v>
      </c>
      <c r="AA8" s="187" t="s">
        <v>118</v>
      </c>
      <c r="AB8" s="202" t="n">
        <v>2.95E-006</v>
      </c>
      <c r="AC8" s="202" t="n">
        <v>-0.00176</v>
      </c>
      <c r="AD8" s="202" t="n">
        <v>0.261</v>
      </c>
      <c r="AE8" s="202" t="n">
        <v>-0.0067</v>
      </c>
      <c r="AF8" s="202" t="n">
        <v>2.35</v>
      </c>
      <c r="AG8" s="202" t="n">
        <v>19.3</v>
      </c>
    </row>
    <row r="9" customFormat="false" ht="15.75" hidden="false" customHeight="false" outlineLevel="0" collapsed="false">
      <c r="B9" s="151" t="s">
        <v>352</v>
      </c>
      <c r="C9" s="111" t="s">
        <v>353</v>
      </c>
      <c r="D9" s="108" t="n">
        <v>0.8</v>
      </c>
      <c r="E9" s="111" t="n">
        <v>0.1</v>
      </c>
      <c r="F9" s="108" t="n">
        <v>0.95</v>
      </c>
      <c r="G9" s="111" t="n">
        <v>1.02</v>
      </c>
      <c r="H9" s="111" t="n">
        <v>550</v>
      </c>
      <c r="I9" s="108" t="n">
        <v>0</v>
      </c>
      <c r="J9" s="205" t="n">
        <v>3.75</v>
      </c>
      <c r="K9" s="205" t="n">
        <v>179.5</v>
      </c>
      <c r="L9" s="34" t="n">
        <v>1</v>
      </c>
      <c r="M9" s="175" t="n">
        <v>0.36</v>
      </c>
      <c r="N9" s="108" t="n">
        <v>0.01</v>
      </c>
      <c r="O9" s="111" t="n">
        <v>12.11111111</v>
      </c>
      <c r="P9" s="111" t="n">
        <v>-1</v>
      </c>
      <c r="Q9" s="111" t="n">
        <v>120</v>
      </c>
      <c r="R9" s="111" t="n">
        <v>1</v>
      </c>
      <c r="S9" s="111" t="n">
        <v>0</v>
      </c>
      <c r="T9" s="111" t="n">
        <v>0</v>
      </c>
      <c r="U9" s="185" t="n">
        <v>0</v>
      </c>
      <c r="V9" s="206" t="n">
        <v>999</v>
      </c>
      <c r="W9" s="175" t="n">
        <v>0</v>
      </c>
      <c r="X9" s="108" t="n">
        <v>0</v>
      </c>
      <c r="Y9" s="108" t="n">
        <v>0.06</v>
      </c>
      <c r="Z9" s="108" t="n">
        <v>0.01</v>
      </c>
      <c r="AA9" s="111" t="s">
        <v>118</v>
      </c>
      <c r="AB9" s="207"/>
      <c r="AC9" s="207"/>
      <c r="AD9" s="207"/>
      <c r="AE9" s="207"/>
      <c r="AF9" s="207"/>
      <c r="AG9" s="207"/>
    </row>
    <row r="10" customFormat="false" ht="15.75" hidden="false" customHeight="false" outlineLevel="0" collapsed="false">
      <c r="B10" s="5"/>
      <c r="C10" s="5"/>
      <c r="D10" s="5"/>
      <c r="E10" s="5"/>
      <c r="F10" s="5"/>
      <c r="G10" s="5"/>
      <c r="H10" s="5"/>
      <c r="I10" s="35"/>
      <c r="J10" s="5"/>
      <c r="K10" s="5"/>
      <c r="L10" s="5"/>
      <c r="M10" s="35"/>
      <c r="N10" s="35"/>
      <c r="O10" s="35"/>
      <c r="P10" s="5"/>
      <c r="Q10" s="5"/>
      <c r="R10" s="5"/>
      <c r="S10" s="5"/>
      <c r="T10" s="5"/>
      <c r="U10" s="5"/>
      <c r="V10" s="35"/>
      <c r="W10" s="35"/>
      <c r="X10" s="35"/>
      <c r="Y10" s="35"/>
      <c r="Z10" s="35"/>
      <c r="AA10" s="35"/>
      <c r="AB10" s="188"/>
      <c r="AC10" s="188"/>
      <c r="AD10" s="188"/>
      <c r="AE10" s="188"/>
      <c r="AF10" s="188"/>
      <c r="AG10" s="188"/>
    </row>
    <row r="11" customFormat="false" ht="15" hidden="false" customHeight="false" outlineLevel="0" collapsed="false">
      <c r="B11" s="5"/>
      <c r="C11" s="5"/>
      <c r="D11" s="5"/>
      <c r="E11" s="5"/>
      <c r="F11" s="5"/>
      <c r="G11" s="5"/>
      <c r="H11" s="5"/>
      <c r="I11" s="35"/>
      <c r="J11" s="5"/>
      <c r="K11" s="5"/>
      <c r="L11" s="5"/>
      <c r="M11" s="35"/>
      <c r="N11" s="35"/>
      <c r="O11" s="35"/>
      <c r="P11" s="5"/>
      <c r="Q11" s="5"/>
      <c r="R11" s="5"/>
      <c r="S11" s="5"/>
      <c r="T11" s="5"/>
      <c r="U11" s="5"/>
      <c r="V11" s="35"/>
      <c r="W11" s="35"/>
      <c r="X11" s="35"/>
      <c r="Y11" s="35"/>
      <c r="Z11" s="35"/>
      <c r="AA11" s="35"/>
      <c r="AB11" s="188"/>
      <c r="AC11" s="188"/>
      <c r="AD11" s="188"/>
      <c r="AE11" s="188"/>
      <c r="AF11" s="188"/>
      <c r="AG11" s="188"/>
    </row>
    <row r="12" customFormat="false" ht="15" hidden="false" customHeight="false" outlineLevel="0" collapsed="false">
      <c r="B12" s="5"/>
      <c r="C12" s="5"/>
      <c r="D12" s="5"/>
      <c r="E12" s="5"/>
      <c r="F12" s="5"/>
      <c r="G12" s="5"/>
      <c r="H12" s="5"/>
      <c r="I12" s="35"/>
      <c r="J12" s="5"/>
      <c r="K12" s="5"/>
      <c r="L12" s="5"/>
      <c r="M12" s="35"/>
      <c r="N12" s="35"/>
      <c r="O12" s="35"/>
      <c r="P12" s="5"/>
      <c r="Q12" s="5"/>
      <c r="R12" s="5"/>
      <c r="S12" s="5"/>
      <c r="T12" s="5"/>
      <c r="U12" s="5"/>
      <c r="V12" s="35"/>
      <c r="W12" s="35"/>
      <c r="X12" s="35"/>
      <c r="Y12" s="35"/>
      <c r="Z12" s="35"/>
      <c r="AA12" s="35"/>
      <c r="AB12" s="188"/>
      <c r="AC12" s="188"/>
      <c r="AD12" s="188"/>
      <c r="AE12" s="188"/>
      <c r="AF12" s="188"/>
      <c r="AG12" s="188"/>
    </row>
    <row r="13" customFormat="false" ht="15" hidden="false" customHeight="false" outlineLevel="0" collapsed="false">
      <c r="B13" s="5"/>
      <c r="C13" s="5"/>
      <c r="D13" s="5"/>
      <c r="E13" s="5"/>
      <c r="F13" s="5"/>
      <c r="G13" s="5"/>
      <c r="H13" s="5"/>
      <c r="I13" s="35"/>
      <c r="J13" s="5"/>
      <c r="K13" s="5"/>
      <c r="L13" s="5"/>
      <c r="M13" s="5"/>
      <c r="N13" s="5"/>
      <c r="O13" s="35"/>
      <c r="P13" s="5"/>
      <c r="Q13" s="5"/>
      <c r="R13" s="5"/>
      <c r="S13" s="5"/>
      <c r="T13" s="5"/>
      <c r="U13" s="5"/>
      <c r="V13" s="35"/>
      <c r="W13" s="35"/>
      <c r="X13" s="35"/>
      <c r="Y13" s="35"/>
      <c r="Z13" s="35"/>
      <c r="AA13" s="35"/>
      <c r="AB13" s="188"/>
      <c r="AC13" s="188"/>
      <c r="AD13" s="188"/>
      <c r="AE13" s="188"/>
      <c r="AF13" s="188"/>
      <c r="AG13" s="188"/>
    </row>
    <row r="14" customFormat="false" ht="15" hidden="false" customHeight="false" outlineLevel="0" collapsed="false">
      <c r="B14" s="5"/>
      <c r="C14" s="5"/>
      <c r="D14" s="5"/>
      <c r="E14" s="5"/>
      <c r="F14" s="5"/>
      <c r="G14" s="5"/>
      <c r="H14" s="5"/>
      <c r="I14" s="35"/>
      <c r="J14" s="5"/>
      <c r="K14" s="5"/>
      <c r="L14" s="5"/>
      <c r="M14" s="5"/>
      <c r="N14" s="5"/>
      <c r="O14" s="35"/>
      <c r="P14" s="5"/>
      <c r="Q14" s="5"/>
      <c r="R14" s="5"/>
      <c r="S14" s="5"/>
      <c r="T14" s="5"/>
      <c r="U14" s="5"/>
      <c r="V14" s="35"/>
      <c r="W14" s="35"/>
      <c r="X14" s="35"/>
      <c r="Y14" s="35"/>
      <c r="Z14" s="35"/>
      <c r="AA14" s="35"/>
      <c r="AB14" s="188"/>
      <c r="AC14" s="188"/>
      <c r="AD14" s="188"/>
      <c r="AE14" s="188"/>
      <c r="AF14" s="188"/>
      <c r="AG14" s="188"/>
    </row>
    <row r="15" customFormat="false" ht="15" hidden="false" customHeight="false" outlineLevel="0" collapsed="false">
      <c r="B15" s="5"/>
      <c r="C15" s="5"/>
      <c r="D15" s="5"/>
      <c r="E15" s="5"/>
      <c r="F15" s="5"/>
      <c r="G15" s="5"/>
      <c r="H15" s="5"/>
      <c r="I15" s="35"/>
      <c r="J15" s="5"/>
      <c r="K15" s="5"/>
      <c r="L15" s="5"/>
      <c r="M15" s="5"/>
      <c r="N15" s="5"/>
      <c r="O15" s="35"/>
      <c r="P15" s="5"/>
      <c r="Q15" s="5"/>
      <c r="R15" s="5"/>
      <c r="S15" s="5"/>
      <c r="T15" s="5"/>
      <c r="U15" s="5"/>
      <c r="V15" s="35"/>
      <c r="W15" s="35"/>
      <c r="X15" s="35"/>
      <c r="Y15" s="35"/>
      <c r="Z15" s="35"/>
      <c r="AA15" s="35"/>
      <c r="AB15" s="188"/>
      <c r="AC15" s="188"/>
      <c r="AD15" s="188"/>
      <c r="AE15" s="188"/>
      <c r="AF15" s="188"/>
      <c r="AG15" s="188"/>
    </row>
    <row r="16" customFormat="false" ht="15" hidden="false" customHeight="false" outlineLevel="0" collapsed="false">
      <c r="B16" s="5"/>
      <c r="C16" s="5"/>
      <c r="D16" s="5"/>
      <c r="E16" s="5"/>
      <c r="F16" s="5"/>
      <c r="G16" s="5"/>
      <c r="H16" s="5"/>
      <c r="I16" s="35"/>
      <c r="J16" s="5"/>
      <c r="K16" s="5"/>
      <c r="L16" s="5"/>
      <c r="M16" s="5"/>
      <c r="N16" s="5"/>
      <c r="O16" s="35"/>
      <c r="P16" s="5"/>
      <c r="Q16" s="5"/>
      <c r="R16" s="5"/>
      <c r="S16" s="5"/>
      <c r="T16" s="5"/>
      <c r="U16" s="5"/>
      <c r="V16" s="35"/>
      <c r="W16" s="35"/>
      <c r="X16" s="35"/>
      <c r="Y16" s="35"/>
      <c r="Z16" s="35"/>
      <c r="AA16" s="35"/>
      <c r="AB16" s="35"/>
      <c r="AC16" s="35"/>
      <c r="AD16" s="35"/>
      <c r="AE16" s="35"/>
      <c r="AF16" s="35"/>
      <c r="AG16" s="35"/>
    </row>
    <row r="17" customFormat="false" ht="15" hidden="false" customHeight="false" outlineLevel="0" collapsed="false">
      <c r="B17" s="5"/>
      <c r="C17" s="5"/>
      <c r="D17" s="5"/>
      <c r="E17" s="5"/>
      <c r="F17" s="5"/>
      <c r="G17" s="5"/>
      <c r="H17" s="5"/>
      <c r="I17" s="35"/>
      <c r="J17" s="5"/>
      <c r="K17" s="5"/>
      <c r="L17" s="5"/>
      <c r="M17" s="5"/>
      <c r="N17" s="5"/>
      <c r="O17" s="35"/>
      <c r="P17" s="5"/>
      <c r="Q17" s="5"/>
      <c r="R17" s="5"/>
      <c r="S17" s="5"/>
      <c r="T17" s="5"/>
      <c r="U17" s="5"/>
      <c r="V17" s="35"/>
      <c r="W17" s="35"/>
      <c r="X17" s="35"/>
      <c r="Y17" s="35"/>
      <c r="Z17" s="35"/>
      <c r="AA17" s="35"/>
      <c r="AB17" s="35"/>
      <c r="AC17" s="35"/>
      <c r="AD17" s="35"/>
      <c r="AE17" s="35"/>
      <c r="AF17" s="35"/>
      <c r="AG17" s="35"/>
    </row>
    <row r="18" customFormat="false" ht="15" hidden="false" customHeight="false" outlineLevel="0" collapsed="false">
      <c r="B18" s="5"/>
      <c r="C18" s="5"/>
      <c r="D18" s="5"/>
      <c r="E18" s="5"/>
      <c r="F18" s="5"/>
      <c r="G18" s="5"/>
      <c r="H18" s="5"/>
      <c r="I18" s="35"/>
      <c r="J18" s="5"/>
      <c r="K18" s="5"/>
      <c r="L18" s="5"/>
      <c r="M18" s="5"/>
      <c r="N18" s="5"/>
      <c r="O18" s="35"/>
      <c r="P18" s="5"/>
      <c r="Q18" s="5"/>
      <c r="R18" s="5"/>
      <c r="S18" s="5"/>
      <c r="T18" s="5"/>
      <c r="U18" s="5"/>
      <c r="V18" s="35"/>
      <c r="W18" s="35"/>
      <c r="X18" s="35"/>
      <c r="Y18" s="35"/>
      <c r="Z18" s="35"/>
      <c r="AA18" s="35"/>
      <c r="AB18" s="35"/>
      <c r="AC18" s="35"/>
      <c r="AD18" s="35"/>
      <c r="AE18" s="35"/>
      <c r="AF18" s="35"/>
      <c r="AG18" s="35"/>
    </row>
    <row r="27" customFormat="false" ht="15" hidden="false" customHeight="false" outlineLevel="0" collapsed="false">
      <c r="A27" s="44" t="s">
        <v>250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W10"/>
  <sheetViews>
    <sheetView showFormulas="false" showGridLines="true" showRowColHeaders="true" showZeros="true" rightToLeft="false" tabSelected="false" showOutlineSymbols="true" defaultGridColor="true" view="normal" topLeftCell="A1" colorId="64" zoomScale="141" zoomScaleNormal="141" zoomScalePageLayoutView="100" workbookViewId="0">
      <selection pane="topLeft" activeCell="E22" activeCellId="0" sqref="E22"/>
    </sheetView>
  </sheetViews>
  <sheetFormatPr defaultColWidth="8.5078125" defaultRowHeight="15" zeroHeight="false" outlineLevelRow="0" outlineLevelCol="0"/>
  <cols>
    <col collapsed="false" customWidth="true" hidden="false" outlineLevel="0" max="1" min="1" style="0" width="25.33"/>
    <col collapsed="false" customWidth="true" hidden="false" outlineLevel="0" max="2" min="2" style="0" width="18.5"/>
    <col collapsed="false" customWidth="true" hidden="false" outlineLevel="0" max="3" min="3" style="0" width="28.33"/>
    <col collapsed="false" customWidth="true" hidden="false" outlineLevel="0" max="4" min="4" style="27" width="14.33"/>
    <col collapsed="false" customWidth="true" hidden="false" outlineLevel="0" max="5" min="5" style="27" width="14.66"/>
    <col collapsed="false" customWidth="true" hidden="false" outlineLevel="0" max="6" min="6" style="27" width="11.33"/>
    <col collapsed="false" customWidth="true" hidden="false" outlineLevel="0" max="10" min="7" style="27" width="15.66"/>
    <col collapsed="false" customWidth="true" hidden="false" outlineLevel="0" max="11" min="11" style="27" width="24"/>
    <col collapsed="false" customWidth="true" hidden="false" outlineLevel="0" max="13" min="12" style="27" width="7.66"/>
    <col collapsed="false" customWidth="true" hidden="false" outlineLevel="0" max="14" min="14" style="27" width="10.66"/>
    <col collapsed="false" customWidth="true" hidden="false" outlineLevel="0" max="16" min="15" style="27" width="15.33"/>
    <col collapsed="false" customWidth="true" hidden="false" outlineLevel="0" max="17" min="17" style="27" width="15"/>
    <col collapsed="false" customWidth="true" hidden="false" outlineLevel="0" max="19" min="18" style="27" width="19.67"/>
    <col collapsed="false" customWidth="true" hidden="false" outlineLevel="0" max="20" min="20" style="27" width="17.67"/>
    <col collapsed="false" customWidth="true" hidden="false" outlineLevel="0" max="21" min="21" style="27" width="14.5"/>
    <col collapsed="false" customWidth="true" hidden="false" outlineLevel="0" max="22" min="22" style="27" width="30.33"/>
    <col collapsed="false" customWidth="true" hidden="false" outlineLevel="0" max="23" min="23" style="27" width="13.51"/>
  </cols>
  <sheetData>
    <row r="1" customFormat="false" ht="15" hidden="false" customHeight="false" outlineLevel="0" collapsed="false">
      <c r="A1" s="26" t="s">
        <v>31</v>
      </c>
      <c r="B1" s="54"/>
      <c r="C1" s="54"/>
      <c r="D1" s="54"/>
      <c r="E1" s="54"/>
      <c r="F1" s="54" t="s">
        <v>77</v>
      </c>
      <c r="G1" s="54" t="s">
        <v>77</v>
      </c>
      <c r="H1" s="54"/>
      <c r="I1" s="54"/>
      <c r="J1" s="54"/>
      <c r="K1" s="54" t="s">
        <v>245</v>
      </c>
      <c r="L1" s="54" t="s">
        <v>77</v>
      </c>
      <c r="M1" s="54"/>
      <c r="N1" s="54"/>
      <c r="O1" s="54"/>
      <c r="P1" s="54"/>
      <c r="Q1" s="54"/>
      <c r="R1" s="54"/>
      <c r="S1" s="54"/>
      <c r="T1" s="54" t="s">
        <v>77</v>
      </c>
      <c r="U1" s="54"/>
      <c r="V1" s="54" t="s">
        <v>77</v>
      </c>
      <c r="W1" s="54"/>
    </row>
    <row r="2" customFormat="false" ht="33" hidden="false" customHeight="false" outlineLevel="0" collapsed="false">
      <c r="A2" s="28"/>
      <c r="B2" s="29" t="s">
        <v>79</v>
      </c>
      <c r="C2" s="70" t="s">
        <v>80</v>
      </c>
      <c r="D2" s="30" t="s">
        <v>84</v>
      </c>
      <c r="E2" s="30" t="s">
        <v>85</v>
      </c>
      <c r="F2" s="30" t="s">
        <v>86</v>
      </c>
      <c r="G2" s="30" t="s">
        <v>87</v>
      </c>
      <c r="H2" s="30" t="s">
        <v>88</v>
      </c>
      <c r="I2" s="30" t="s">
        <v>23</v>
      </c>
      <c r="J2" s="30" t="s">
        <v>25</v>
      </c>
      <c r="K2" s="29" t="s">
        <v>27</v>
      </c>
      <c r="L2" s="29" t="s">
        <v>89</v>
      </c>
      <c r="M2" s="29" t="s">
        <v>90</v>
      </c>
      <c r="N2" s="30" t="s">
        <v>91</v>
      </c>
      <c r="O2" s="29" t="s">
        <v>33</v>
      </c>
      <c r="P2" s="29" t="s">
        <v>36</v>
      </c>
      <c r="Q2" s="29" t="s">
        <v>92</v>
      </c>
      <c r="R2" s="29" t="s">
        <v>93</v>
      </c>
      <c r="S2" s="29" t="s">
        <v>94</v>
      </c>
      <c r="T2" s="29" t="s">
        <v>95</v>
      </c>
      <c r="U2" s="29" t="s">
        <v>96</v>
      </c>
      <c r="V2" s="29" t="s">
        <v>97</v>
      </c>
      <c r="W2" s="29" t="s">
        <v>98</v>
      </c>
    </row>
    <row r="3" customFormat="false" ht="15.75" hidden="false" customHeight="false" outlineLevel="0" collapsed="false">
      <c r="A3" s="208" t="s">
        <v>354</v>
      </c>
      <c r="B3" s="125" t="s">
        <v>355</v>
      </c>
      <c r="C3" s="126" t="s">
        <v>356</v>
      </c>
      <c r="D3" s="209" t="n">
        <v>300</v>
      </c>
      <c r="E3" s="128" t="n">
        <v>0.01</v>
      </c>
      <c r="F3" s="209" t="n">
        <v>30</v>
      </c>
      <c r="G3" s="209" t="n">
        <v>500</v>
      </c>
      <c r="H3" s="129" t="n">
        <v>1</v>
      </c>
      <c r="I3" s="35" t="n">
        <f aca="false">RANDBETWEEN(1,40)/100</f>
        <v>0.27</v>
      </c>
      <c r="J3" s="35" t="n">
        <f aca="false">RANDBETWEEN(1,100)/100</f>
        <v>0.06</v>
      </c>
      <c r="K3" s="98" t="n">
        <v>20</v>
      </c>
      <c r="L3" s="127" t="n">
        <v>20</v>
      </c>
      <c r="M3" s="127" t="n">
        <v>1</v>
      </c>
      <c r="N3" s="127" t="n">
        <v>1</v>
      </c>
      <c r="O3" s="127" t="n">
        <v>0</v>
      </c>
      <c r="P3" s="127" t="n">
        <v>0</v>
      </c>
      <c r="Q3" s="210" t="n">
        <v>0</v>
      </c>
      <c r="R3" s="211" t="n">
        <v>999</v>
      </c>
      <c r="S3" s="212" t="n">
        <v>0</v>
      </c>
      <c r="T3" s="210" t="n">
        <v>0</v>
      </c>
      <c r="U3" s="210" t="n">
        <v>0</v>
      </c>
      <c r="V3" s="213" t="n">
        <v>0.01</v>
      </c>
      <c r="W3" s="99" t="s">
        <v>118</v>
      </c>
    </row>
    <row r="4" customFormat="false" ht="15.75" hidden="false" customHeight="false" outlineLevel="0" collapsed="false">
      <c r="B4" s="125" t="s">
        <v>355</v>
      </c>
      <c r="C4" s="126" t="s">
        <v>357</v>
      </c>
      <c r="D4" s="209" t="n">
        <v>100</v>
      </c>
      <c r="E4" s="128" t="n">
        <v>0.01</v>
      </c>
      <c r="F4" s="209" t="n">
        <v>30</v>
      </c>
      <c r="G4" s="209" t="n">
        <v>500</v>
      </c>
      <c r="H4" s="129" t="n">
        <v>1</v>
      </c>
      <c r="I4" s="35" t="n">
        <f aca="false">RANDBETWEEN(1,40)/100</f>
        <v>0.02</v>
      </c>
      <c r="J4" s="35" t="n">
        <f aca="false">RANDBETWEEN(1,100)/100</f>
        <v>0.59</v>
      </c>
      <c r="K4" s="98" t="n">
        <v>20</v>
      </c>
      <c r="L4" s="127" t="n">
        <v>20</v>
      </c>
      <c r="M4" s="127" t="n">
        <v>1</v>
      </c>
      <c r="N4" s="127" t="n">
        <v>1</v>
      </c>
      <c r="O4" s="127" t="n">
        <v>0</v>
      </c>
      <c r="P4" s="127" t="n">
        <v>0</v>
      </c>
      <c r="Q4" s="133" t="n">
        <v>0</v>
      </c>
      <c r="R4" s="127" t="n">
        <v>999</v>
      </c>
      <c r="S4" s="128" t="n">
        <v>0</v>
      </c>
      <c r="T4" s="133" t="n">
        <v>0</v>
      </c>
      <c r="U4" s="133" t="n">
        <v>0</v>
      </c>
      <c r="V4" s="214" t="n">
        <v>0.01</v>
      </c>
      <c r="W4" s="98" t="s">
        <v>118</v>
      </c>
    </row>
    <row r="8" customFormat="false" ht="15" hidden="false" customHeight="false" outlineLevel="0" collapsed="false">
      <c r="A8" s="45" t="s">
        <v>133</v>
      </c>
      <c r="B8" s="45" t="s">
        <v>31</v>
      </c>
    </row>
    <row r="9" customFormat="false" ht="15" hidden="false" customHeight="false" outlineLevel="0" collapsed="false">
      <c r="A9" s="46" t="s">
        <v>358</v>
      </c>
      <c r="B9" s="46" t="s">
        <v>78</v>
      </c>
    </row>
    <row r="10" customFormat="false" ht="15.75" hidden="false" customHeight="false" outlineLevel="0" collapsed="false">
      <c r="A10" s="126" t="s">
        <v>359</v>
      </c>
      <c r="B10" s="46" t="s">
        <v>360</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
  <sheetViews>
    <sheetView showFormulas="false" showGridLines="true" showRowColHeaders="true" showZeros="true" rightToLeft="false" tabSelected="false" showOutlineSymbols="true" defaultGridColor="true" view="normal" topLeftCell="A1" colorId="64" zoomScale="115" zoomScaleNormal="115" zoomScalePageLayoutView="100" workbookViewId="0">
      <selection pane="topLeft" activeCell="E7" activeCellId="0" sqref="E7"/>
    </sheetView>
  </sheetViews>
  <sheetFormatPr defaultColWidth="8.5078125" defaultRowHeight="15" zeroHeight="false" outlineLevelRow="0" outlineLevelCol="0"/>
  <cols>
    <col collapsed="false" customWidth="true" hidden="false" outlineLevel="0" max="1" min="1" style="0" width="25.33"/>
    <col collapsed="false" customWidth="true" hidden="false" outlineLevel="0" max="2" min="2" style="0" width="18.5"/>
    <col collapsed="false" customWidth="true" hidden="false" outlineLevel="0" max="3" min="3" style="0" width="28.33"/>
    <col collapsed="false" customWidth="true" hidden="false" outlineLevel="0" max="4" min="4" style="27" width="14.33"/>
    <col collapsed="false" customWidth="true" hidden="false" outlineLevel="0" max="5" min="5" style="27" width="14.66"/>
    <col collapsed="false" customWidth="true" hidden="false" outlineLevel="0" max="6" min="6" style="27" width="11.33"/>
    <col collapsed="false" customWidth="true" hidden="false" outlineLevel="0" max="10" min="7" style="27" width="15.66"/>
    <col collapsed="false" customWidth="true" hidden="false" outlineLevel="0" max="11" min="11" style="27" width="24"/>
    <col collapsed="false" customWidth="true" hidden="false" outlineLevel="0" max="13" min="12" style="27" width="7.66"/>
    <col collapsed="false" customWidth="true" hidden="false" outlineLevel="0" max="14" min="14" style="27" width="10.66"/>
    <col collapsed="false" customWidth="true" hidden="false" outlineLevel="0" max="16" min="15" style="27" width="15.33"/>
    <col collapsed="false" customWidth="true" hidden="false" outlineLevel="0" max="17" min="17" style="27" width="15"/>
    <col collapsed="false" customWidth="true" hidden="false" outlineLevel="0" max="19" min="18" style="27" width="19.67"/>
    <col collapsed="false" customWidth="true" hidden="false" outlineLevel="0" max="20" min="20" style="27" width="17.67"/>
    <col collapsed="false" customWidth="true" hidden="false" outlineLevel="0" max="21" min="21" style="27" width="14.5"/>
    <col collapsed="false" customWidth="true" hidden="false" outlineLevel="0" max="22" min="22" style="27" width="30.33"/>
    <col collapsed="false" customWidth="true" hidden="false" outlineLevel="0" max="23" min="23" style="27" width="13.51"/>
  </cols>
  <sheetData>
    <row r="1" customFormat="false" ht="15.75" hidden="false" customHeight="false" outlineLevel="0" collapsed="false">
      <c r="A1" s="26" t="s">
        <v>31</v>
      </c>
      <c r="B1" s="54"/>
      <c r="C1" s="54"/>
      <c r="D1" s="54"/>
      <c r="E1" s="54"/>
      <c r="F1" s="54" t="s">
        <v>77</v>
      </c>
      <c r="G1" s="54" t="s">
        <v>77</v>
      </c>
      <c r="H1" s="54"/>
      <c r="I1" s="54"/>
      <c r="J1" s="54"/>
      <c r="K1" s="54" t="s">
        <v>245</v>
      </c>
      <c r="L1" s="54" t="s">
        <v>77</v>
      </c>
      <c r="M1" s="54"/>
      <c r="N1" s="54"/>
      <c r="O1" s="54"/>
      <c r="P1" s="54"/>
      <c r="Q1" s="54"/>
      <c r="R1" s="54"/>
      <c r="S1" s="54"/>
      <c r="T1" s="54" t="s">
        <v>77</v>
      </c>
      <c r="U1" s="54"/>
      <c r="V1" s="54" t="s">
        <v>77</v>
      </c>
      <c r="W1" s="54"/>
    </row>
    <row r="2" customFormat="false" ht="33" hidden="false" customHeight="false" outlineLevel="0" collapsed="false">
      <c r="A2" s="28" t="s">
        <v>361</v>
      </c>
      <c r="B2" s="29" t="s">
        <v>79</v>
      </c>
      <c r="C2" s="70" t="s">
        <v>80</v>
      </c>
      <c r="D2" s="30" t="s">
        <v>84</v>
      </c>
      <c r="E2" s="30" t="s">
        <v>85</v>
      </c>
      <c r="F2" s="30" t="s">
        <v>86</v>
      </c>
      <c r="G2" s="30" t="s">
        <v>87</v>
      </c>
      <c r="H2" s="30" t="s">
        <v>88</v>
      </c>
      <c r="I2" s="30" t="s">
        <v>23</v>
      </c>
      <c r="J2" s="30" t="s">
        <v>25</v>
      </c>
      <c r="K2" s="29" t="s">
        <v>27</v>
      </c>
      <c r="L2" s="29" t="s">
        <v>89</v>
      </c>
      <c r="M2" s="29" t="s">
        <v>90</v>
      </c>
      <c r="N2" s="30" t="s">
        <v>91</v>
      </c>
      <c r="O2" s="29" t="s">
        <v>33</v>
      </c>
      <c r="P2" s="29" t="s">
        <v>36</v>
      </c>
      <c r="Q2" s="29" t="s">
        <v>92</v>
      </c>
      <c r="R2" s="29" t="s">
        <v>93</v>
      </c>
      <c r="S2" s="29" t="s">
        <v>94</v>
      </c>
      <c r="T2" s="29" t="s">
        <v>95</v>
      </c>
      <c r="U2" s="29" t="s">
        <v>96</v>
      </c>
      <c r="V2" s="29" t="s">
        <v>97</v>
      </c>
      <c r="W2" s="29" t="s">
        <v>98</v>
      </c>
      <c r="X2" s="29" t="s">
        <v>362</v>
      </c>
      <c r="Y2" s="215" t="s">
        <v>363</v>
      </c>
      <c r="Z2" s="216" t="s">
        <v>364</v>
      </c>
    </row>
    <row r="3" customFormat="false" ht="15.75" hidden="false" customHeight="false" outlineLevel="0" collapsed="false">
      <c r="B3" s="125" t="s">
        <v>365</v>
      </c>
      <c r="C3" s="126" t="s">
        <v>366</v>
      </c>
      <c r="D3" s="217" t="n">
        <v>35000</v>
      </c>
      <c r="E3" s="218" t="s">
        <v>367</v>
      </c>
      <c r="F3" s="209" t="n">
        <v>29.478</v>
      </c>
      <c r="G3" s="209" t="n">
        <v>1861</v>
      </c>
      <c r="H3" s="219" t="n">
        <v>45</v>
      </c>
      <c r="I3" s="35" t="n">
        <f aca="false">RANDBETWEEN(1,40)/100</f>
        <v>0.09</v>
      </c>
      <c r="J3" s="35" t="n">
        <f aca="false">RANDBETWEEN(1,100)/100</f>
        <v>0.47</v>
      </c>
      <c r="K3" s="220" t="n">
        <v>20</v>
      </c>
      <c r="L3" s="127" t="n">
        <v>20</v>
      </c>
      <c r="M3" s="78" t="n">
        <v>1</v>
      </c>
      <c r="N3" s="78" t="n">
        <v>1</v>
      </c>
      <c r="O3" s="127" t="n">
        <v>0</v>
      </c>
      <c r="P3" s="127" t="n">
        <v>0</v>
      </c>
      <c r="Q3" s="210" t="n">
        <v>0</v>
      </c>
      <c r="R3" s="211" t="n">
        <v>13</v>
      </c>
      <c r="S3" s="212" t="n">
        <v>0.3</v>
      </c>
      <c r="T3" s="210" t="n">
        <v>0</v>
      </c>
      <c r="U3" s="221" t="n">
        <v>0.08</v>
      </c>
      <c r="V3" s="212" t="n">
        <v>0.01</v>
      </c>
      <c r="W3" s="99" t="s">
        <v>102</v>
      </c>
      <c r="X3" s="71" t="n">
        <v>300000</v>
      </c>
      <c r="Y3" s="222" t="n">
        <v>150000</v>
      </c>
      <c r="Z3" s="223" t="n">
        <v>0.9</v>
      </c>
    </row>
    <row r="4" customFormat="false" ht="15.75" hidden="false" customHeight="false" outlineLevel="0" collapsed="false">
      <c r="B4" s="125" t="s">
        <v>368</v>
      </c>
      <c r="C4" s="126" t="s">
        <v>366</v>
      </c>
      <c r="D4" s="220" t="n">
        <v>20000</v>
      </c>
      <c r="E4" s="218" t="n">
        <v>0.01</v>
      </c>
      <c r="F4" s="129" t="n">
        <v>29.478</v>
      </c>
      <c r="G4" s="129" t="n">
        <v>1861</v>
      </c>
      <c r="H4" s="220" t="n">
        <v>45</v>
      </c>
      <c r="I4" s="35" t="n">
        <f aca="false">RANDBETWEEN(1,40)/100</f>
        <v>0.15</v>
      </c>
      <c r="J4" s="35" t="n">
        <f aca="false">RANDBETWEEN(1,100)/100</f>
        <v>0.25</v>
      </c>
      <c r="K4" s="220" t="n">
        <v>20</v>
      </c>
      <c r="L4" s="127" t="n">
        <v>30</v>
      </c>
      <c r="M4" s="127" t="n">
        <v>1</v>
      </c>
      <c r="N4" s="127" t="n">
        <v>1</v>
      </c>
      <c r="O4" s="127" t="n">
        <v>0</v>
      </c>
      <c r="P4" s="127" t="n">
        <v>0</v>
      </c>
      <c r="Q4" s="210" t="n">
        <v>0</v>
      </c>
      <c r="R4" s="224" t="n">
        <v>13</v>
      </c>
      <c r="S4" s="225" t="n">
        <v>0.05</v>
      </c>
      <c r="T4" s="210" t="n">
        <v>0</v>
      </c>
      <c r="U4" s="210" t="n">
        <v>0</v>
      </c>
      <c r="V4" s="212" t="n">
        <v>0.01</v>
      </c>
      <c r="W4" s="99" t="s">
        <v>102</v>
      </c>
      <c r="X4" s="71" t="n">
        <v>400000</v>
      </c>
      <c r="Y4" s="222" t="n">
        <v>200000</v>
      </c>
      <c r="Z4" s="223" t="n">
        <v>0.9</v>
      </c>
    </row>
    <row r="9" customFormat="false" ht="15" hidden="false" customHeight="false" outlineLevel="0" collapsed="false">
      <c r="A9" s="45" t="s">
        <v>369</v>
      </c>
      <c r="B9" s="45" t="s">
        <v>370</v>
      </c>
    </row>
    <row r="10" customFormat="false" ht="48" hidden="false" customHeight="false" outlineLevel="0" collapsed="false">
      <c r="A10" s="226"/>
      <c r="B10" s="227" t="s">
        <v>371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X19"/>
  <sheetViews>
    <sheetView showFormulas="false" showGridLines="true" showRowColHeaders="true" showZeros="true" rightToLeft="false" tabSelected="false" showOutlineSymbols="true" defaultGridColor="true" view="normal" topLeftCell="A1" colorId="64" zoomScale="125" zoomScaleNormal="125" zoomScalePageLayoutView="100" workbookViewId="0">
      <selection pane="topLeft" activeCell="L6" activeCellId="0" sqref="L6"/>
    </sheetView>
  </sheetViews>
  <sheetFormatPr defaultColWidth="8.5078125" defaultRowHeight="15" zeroHeight="false" outlineLevelRow="0" outlineLevelCol="0"/>
  <cols>
    <col collapsed="false" customWidth="true" hidden="false" outlineLevel="0" max="1" min="1" style="0" width="25.33"/>
    <col collapsed="false" customWidth="true" hidden="false" outlineLevel="0" max="2" min="2" style="0" width="18.5"/>
    <col collapsed="false" customWidth="true" hidden="false" outlineLevel="0" max="3" min="3" style="0" width="28.33"/>
    <col collapsed="false" customWidth="true" hidden="false" outlineLevel="0" max="4" min="4" style="27" width="14.33"/>
    <col collapsed="false" customWidth="true" hidden="false" outlineLevel="0" max="5" min="5" style="27" width="14.66"/>
    <col collapsed="false" customWidth="true" hidden="false" outlineLevel="0" max="6" min="6" style="27" width="11.33"/>
    <col collapsed="false" customWidth="true" hidden="false" outlineLevel="0" max="10" min="7" style="27" width="15.66"/>
    <col collapsed="false" customWidth="true" hidden="false" outlineLevel="0" max="11" min="11" style="27" width="24"/>
    <col collapsed="false" customWidth="true" hidden="false" outlineLevel="0" max="13" min="12" style="27" width="7.66"/>
    <col collapsed="false" customWidth="true" hidden="false" outlineLevel="0" max="14" min="14" style="27" width="10.66"/>
    <col collapsed="false" customWidth="true" hidden="false" outlineLevel="0" max="16" min="15" style="27" width="15.33"/>
    <col collapsed="false" customWidth="true" hidden="false" outlineLevel="0" max="17" min="17" style="27" width="15"/>
    <col collapsed="false" customWidth="true" hidden="false" outlineLevel="0" max="19" min="18" style="27" width="19.67"/>
    <col collapsed="false" customWidth="true" hidden="false" outlineLevel="0" max="20" min="20" style="27" width="17.67"/>
    <col collapsed="false" customWidth="true" hidden="false" outlineLevel="0" max="21" min="21" style="27" width="14.5"/>
    <col collapsed="false" customWidth="true" hidden="false" outlineLevel="0" max="22" min="22" style="27" width="30.33"/>
    <col collapsed="false" customWidth="true" hidden="false" outlineLevel="0" max="23" min="23" style="27" width="13.51"/>
  </cols>
  <sheetData>
    <row r="1" customFormat="false" ht="15.75" hidden="false" customHeight="false" outlineLevel="0" collapsed="false">
      <c r="A1" s="26" t="s">
        <v>31</v>
      </c>
      <c r="B1" s="54"/>
      <c r="C1" s="54"/>
      <c r="D1" s="54"/>
      <c r="E1" s="54"/>
      <c r="F1" s="54" t="s">
        <v>77</v>
      </c>
      <c r="G1" s="54" t="s">
        <v>77</v>
      </c>
      <c r="H1" s="54"/>
      <c r="I1" s="54"/>
      <c r="J1" s="54"/>
      <c r="K1" s="54" t="s">
        <v>245</v>
      </c>
      <c r="L1" s="54" t="s">
        <v>77</v>
      </c>
      <c r="M1" s="54"/>
      <c r="N1" s="54"/>
      <c r="O1" s="54"/>
      <c r="P1" s="54"/>
      <c r="Q1" s="54"/>
      <c r="R1" s="54"/>
      <c r="S1" s="54"/>
      <c r="T1" s="54" t="s">
        <v>77</v>
      </c>
      <c r="U1" s="54"/>
      <c r="V1" s="54" t="s">
        <v>77</v>
      </c>
      <c r="W1" s="54"/>
    </row>
    <row r="2" customFormat="false" ht="33" hidden="false" customHeight="false" outlineLevel="0" collapsed="false">
      <c r="A2" s="28"/>
      <c r="B2" s="29" t="s">
        <v>79</v>
      </c>
      <c r="C2" s="70" t="s">
        <v>80</v>
      </c>
      <c r="D2" s="30" t="s">
        <v>84</v>
      </c>
      <c r="E2" s="30" t="s">
        <v>85</v>
      </c>
      <c r="F2" s="30" t="s">
        <v>86</v>
      </c>
      <c r="G2" s="30" t="s">
        <v>87</v>
      </c>
      <c r="H2" s="30" t="s">
        <v>88</v>
      </c>
      <c r="I2" s="30" t="s">
        <v>23</v>
      </c>
      <c r="J2" s="30" t="s">
        <v>25</v>
      </c>
      <c r="K2" s="29" t="s">
        <v>27</v>
      </c>
      <c r="L2" s="29" t="s">
        <v>89</v>
      </c>
      <c r="M2" s="29" t="s">
        <v>90</v>
      </c>
      <c r="N2" s="30" t="s">
        <v>91</v>
      </c>
      <c r="O2" s="29" t="s">
        <v>33</v>
      </c>
      <c r="P2" s="29" t="s">
        <v>36</v>
      </c>
      <c r="Q2" s="29" t="s">
        <v>92</v>
      </c>
      <c r="R2" s="29" t="s">
        <v>93</v>
      </c>
      <c r="S2" s="29" t="s">
        <v>94</v>
      </c>
      <c r="T2" s="29" t="s">
        <v>95</v>
      </c>
      <c r="U2" s="29" t="s">
        <v>96</v>
      </c>
      <c r="V2" s="29" t="s">
        <v>97</v>
      </c>
      <c r="W2" s="29" t="s">
        <v>98</v>
      </c>
      <c r="X2" s="70" t="s">
        <v>364</v>
      </c>
    </row>
    <row r="3" customFormat="false" ht="15.75" hidden="false" customHeight="false" outlineLevel="0" collapsed="false">
      <c r="A3" s="208" t="s">
        <v>354</v>
      </c>
      <c r="B3" s="125" t="s">
        <v>372</v>
      </c>
      <c r="C3" s="126" t="s">
        <v>373</v>
      </c>
      <c r="D3" s="78" t="n">
        <v>86.63636364</v>
      </c>
      <c r="E3" s="134" t="n">
        <v>0.01</v>
      </c>
      <c r="F3" s="129" t="n">
        <v>0.36</v>
      </c>
      <c r="G3" s="129" t="n">
        <v>26.4</v>
      </c>
      <c r="H3" s="219" t="n">
        <v>1</v>
      </c>
      <c r="I3" s="35" t="n">
        <f aca="false">RANDBETWEEN(1,40)/100</f>
        <v>0.23</v>
      </c>
      <c r="J3" s="35" t="n">
        <f aca="false">RANDBETWEEN(1,100)/100</f>
        <v>0.58</v>
      </c>
      <c r="K3" s="220" t="n">
        <v>20</v>
      </c>
      <c r="L3" s="127" t="n">
        <v>20</v>
      </c>
      <c r="M3" s="78" t="n">
        <v>22</v>
      </c>
      <c r="N3" s="129" t="n">
        <v>1</v>
      </c>
      <c r="O3" s="127" t="n">
        <v>0</v>
      </c>
      <c r="P3" s="127" t="n">
        <v>0</v>
      </c>
      <c r="Q3" s="210" t="n">
        <v>0</v>
      </c>
      <c r="R3" s="211" t="n">
        <v>999</v>
      </c>
      <c r="S3" s="212" t="n">
        <v>0</v>
      </c>
      <c r="T3" s="210" t="n">
        <v>0</v>
      </c>
      <c r="U3" s="210" t="n">
        <v>0</v>
      </c>
      <c r="V3" s="212" t="n">
        <v>0.01</v>
      </c>
      <c r="W3" s="99" t="s">
        <v>102</v>
      </c>
      <c r="X3" s="126" t="n">
        <v>0.9</v>
      </c>
    </row>
    <row r="4" customFormat="false" ht="15.75" hidden="false" customHeight="false" outlineLevel="0" collapsed="false">
      <c r="B4" s="125" t="s">
        <v>372</v>
      </c>
      <c r="C4" s="126" t="s">
        <v>374</v>
      </c>
      <c r="D4" s="78" t="n">
        <v>363.6363636</v>
      </c>
      <c r="E4" s="134" t="n">
        <v>0.01</v>
      </c>
      <c r="F4" s="78" t="n">
        <v>0.36</v>
      </c>
      <c r="G4" s="78" t="n">
        <v>26.4</v>
      </c>
      <c r="H4" s="219" t="n">
        <v>1</v>
      </c>
      <c r="I4" s="35" t="n">
        <f aca="false">RANDBETWEEN(1,40)/100</f>
        <v>0.12</v>
      </c>
      <c r="J4" s="35" t="n">
        <f aca="false">RANDBETWEEN(1,100)/100</f>
        <v>0.97</v>
      </c>
      <c r="K4" s="220" t="n">
        <v>20</v>
      </c>
      <c r="L4" s="127" t="n">
        <v>20</v>
      </c>
      <c r="M4" s="78" t="n">
        <v>22</v>
      </c>
      <c r="N4" s="78" t="n">
        <v>1</v>
      </c>
      <c r="O4" s="127" t="n">
        <v>0</v>
      </c>
      <c r="P4" s="127" t="n">
        <v>0</v>
      </c>
      <c r="Q4" s="133" t="n">
        <v>0</v>
      </c>
      <c r="R4" s="127" t="n">
        <v>999</v>
      </c>
      <c r="S4" s="128" t="n">
        <v>0</v>
      </c>
      <c r="T4" s="133" t="n">
        <v>0</v>
      </c>
      <c r="U4" s="133" t="n">
        <v>0</v>
      </c>
      <c r="V4" s="128" t="n">
        <v>0.01</v>
      </c>
      <c r="W4" s="98" t="s">
        <v>102</v>
      </c>
      <c r="X4" s="126" t="n">
        <v>0.9</v>
      </c>
    </row>
    <row r="5" customFormat="false" ht="15.75" hidden="false" customHeight="false" outlineLevel="0" collapsed="false">
      <c r="B5" s="125" t="s">
        <v>375</v>
      </c>
      <c r="C5" s="126" t="s">
        <v>376</v>
      </c>
      <c r="D5" s="78" t="n">
        <v>654.5634921</v>
      </c>
      <c r="E5" s="134" t="n">
        <v>0.0124</v>
      </c>
      <c r="F5" s="78" t="n">
        <v>0.26984127</v>
      </c>
      <c r="G5" s="78" t="n">
        <v>16.34920635</v>
      </c>
      <c r="H5" s="219" t="n">
        <v>1</v>
      </c>
      <c r="I5" s="35" t="n">
        <f aca="false">RANDBETWEEN(1,40)/100</f>
        <v>0.07</v>
      </c>
      <c r="J5" s="35" t="n">
        <f aca="false">RANDBETWEEN(1,100)/100</f>
        <v>0.79</v>
      </c>
      <c r="K5" s="220" t="n">
        <v>20</v>
      </c>
      <c r="L5" s="78" t="n">
        <v>25</v>
      </c>
      <c r="M5" s="78" t="n">
        <v>630</v>
      </c>
      <c r="N5" s="78" t="n">
        <v>630</v>
      </c>
      <c r="O5" s="127" t="n">
        <v>0.6</v>
      </c>
      <c r="P5" s="127" t="n">
        <v>0.6</v>
      </c>
      <c r="Q5" s="210" t="n">
        <v>0</v>
      </c>
      <c r="R5" s="211" t="n">
        <v>999</v>
      </c>
      <c r="S5" s="212" t="n">
        <v>0</v>
      </c>
      <c r="T5" s="210" t="n">
        <v>0</v>
      </c>
      <c r="U5" s="210" t="n">
        <v>0</v>
      </c>
      <c r="V5" s="212" t="n">
        <v>0.01</v>
      </c>
      <c r="W5" s="99" t="s">
        <v>102</v>
      </c>
      <c r="X5" s="126" t="n">
        <v>0.9</v>
      </c>
    </row>
    <row r="6" customFormat="false" ht="15.75" hidden="false" customHeight="false" outlineLevel="0" collapsed="false">
      <c r="B6" s="125" t="s">
        <v>375</v>
      </c>
      <c r="C6" s="228" t="s">
        <v>377</v>
      </c>
      <c r="D6" s="209" t="n">
        <v>40000</v>
      </c>
      <c r="E6" s="214" t="n">
        <v>0</v>
      </c>
      <c r="F6" s="209" t="n">
        <v>4</v>
      </c>
      <c r="G6" s="209" t="n">
        <v>45</v>
      </c>
      <c r="H6" s="219" t="n">
        <v>1</v>
      </c>
      <c r="I6" s="35" t="n">
        <f aca="false">RANDBETWEEN(1,40)/100</f>
        <v>0.17</v>
      </c>
      <c r="J6" s="35" t="n">
        <f aca="false">RANDBETWEEN(1,100)/100</f>
        <v>0.61</v>
      </c>
      <c r="K6" s="220" t="n">
        <v>20</v>
      </c>
      <c r="L6" s="127" t="n">
        <v>30</v>
      </c>
      <c r="M6" s="127" t="n">
        <v>1</v>
      </c>
      <c r="N6" s="127" t="n">
        <v>1</v>
      </c>
      <c r="O6" s="127" t="n">
        <v>0</v>
      </c>
      <c r="P6" s="127" t="n">
        <v>0</v>
      </c>
      <c r="Q6" s="133" t="n">
        <v>0</v>
      </c>
      <c r="R6" s="127" t="n">
        <v>999</v>
      </c>
      <c r="S6" s="128" t="n">
        <v>0</v>
      </c>
      <c r="T6" s="133" t="n">
        <v>0</v>
      </c>
      <c r="U6" s="133" t="n">
        <v>0</v>
      </c>
      <c r="V6" s="128" t="n">
        <v>0.01</v>
      </c>
      <c r="W6" s="99" t="s">
        <v>102</v>
      </c>
      <c r="X6" s="126" t="n">
        <v>0.9</v>
      </c>
    </row>
    <row r="7" customFormat="false" ht="15.75" hidden="false" customHeight="false" outlineLevel="0" collapsed="false">
      <c r="B7" s="125" t="s">
        <v>375</v>
      </c>
      <c r="C7" s="228" t="s">
        <v>378</v>
      </c>
      <c r="D7" s="209" t="n">
        <v>40000</v>
      </c>
      <c r="E7" s="214" t="n">
        <v>0</v>
      </c>
      <c r="F7" s="209" t="n">
        <v>4</v>
      </c>
      <c r="G7" s="209" t="n">
        <v>45</v>
      </c>
      <c r="H7" s="219" t="n">
        <v>1</v>
      </c>
      <c r="I7" s="35" t="n">
        <f aca="false">RANDBETWEEN(1,40)/100</f>
        <v>0.31</v>
      </c>
      <c r="J7" s="35" t="n">
        <f aca="false">RANDBETWEEN(1,100)/100</f>
        <v>0.93</v>
      </c>
      <c r="K7" s="220" t="n">
        <v>20</v>
      </c>
      <c r="L7" s="127" t="n">
        <v>30</v>
      </c>
      <c r="M7" s="127" t="n">
        <v>1</v>
      </c>
      <c r="N7" s="127" t="n">
        <v>1</v>
      </c>
      <c r="O7" s="127" t="n">
        <v>0</v>
      </c>
      <c r="P7" s="127" t="n">
        <v>0</v>
      </c>
      <c r="Q7" s="133" t="n">
        <v>0</v>
      </c>
      <c r="R7" s="127" t="n">
        <v>999</v>
      </c>
      <c r="S7" s="128" t="n">
        <v>0</v>
      </c>
      <c r="T7" s="133" t="n">
        <v>0</v>
      </c>
      <c r="U7" s="133" t="n">
        <v>0</v>
      </c>
      <c r="V7" s="128" t="n">
        <v>0.01</v>
      </c>
      <c r="W7" s="99" t="s">
        <v>102</v>
      </c>
      <c r="X7" s="126" t="n">
        <v>0.9</v>
      </c>
    </row>
    <row r="8" customFormat="false" ht="15.75" hidden="false" customHeight="false" outlineLevel="0" collapsed="false">
      <c r="B8" s="125" t="s">
        <v>379</v>
      </c>
      <c r="C8" s="126" t="s">
        <v>380</v>
      </c>
      <c r="D8" s="209" t="n">
        <v>1972.222222</v>
      </c>
      <c r="E8" s="214" t="n">
        <v>0</v>
      </c>
      <c r="F8" s="209" t="n">
        <v>77.2</v>
      </c>
      <c r="G8" s="209" t="n">
        <v>2361.111111</v>
      </c>
      <c r="H8" s="219" t="n">
        <v>1</v>
      </c>
      <c r="I8" s="35" t="n">
        <f aca="false">RANDBETWEEN(1,40)/100</f>
        <v>0.36</v>
      </c>
      <c r="J8" s="35" t="n">
        <f aca="false">RANDBETWEEN(1,100)/100</f>
        <v>0.16</v>
      </c>
      <c r="K8" s="220" t="n">
        <v>20</v>
      </c>
      <c r="L8" s="78" t="n">
        <v>30000</v>
      </c>
      <c r="M8" s="78" t="n">
        <v>0.18</v>
      </c>
      <c r="N8" s="78" t="n">
        <v>0.18</v>
      </c>
      <c r="O8" s="127" t="n">
        <v>0.6</v>
      </c>
      <c r="P8" s="127" t="n">
        <v>0.6</v>
      </c>
      <c r="Q8" s="210" t="n">
        <v>0</v>
      </c>
      <c r="R8" s="211" t="n">
        <v>999</v>
      </c>
      <c r="S8" s="212" t="n">
        <v>0</v>
      </c>
      <c r="T8" s="210" t="n">
        <v>0</v>
      </c>
      <c r="U8" s="210" t="n">
        <v>0</v>
      </c>
      <c r="V8" s="212" t="n">
        <v>0.01</v>
      </c>
      <c r="W8" s="99" t="s">
        <v>102</v>
      </c>
      <c r="X8" s="126" t="n">
        <v>0.9</v>
      </c>
    </row>
    <row r="9" customFormat="false" ht="15.75" hidden="false" customHeight="false" outlineLevel="0" collapsed="false">
      <c r="B9" s="125" t="s">
        <v>379</v>
      </c>
      <c r="C9" s="126" t="s">
        <v>381</v>
      </c>
      <c r="D9" s="129" t="n">
        <v>100</v>
      </c>
      <c r="E9" s="133" t="n">
        <v>0</v>
      </c>
      <c r="F9" s="129" t="n">
        <v>4.224</v>
      </c>
      <c r="G9" s="129" t="n">
        <v>253.32</v>
      </c>
      <c r="H9" s="219" t="n">
        <v>1</v>
      </c>
      <c r="I9" s="35" t="n">
        <f aca="false">RANDBETWEEN(1,40)/100</f>
        <v>0.19</v>
      </c>
      <c r="J9" s="35" t="n">
        <f aca="false">RANDBETWEEN(1,100)/100</f>
        <v>0.22</v>
      </c>
      <c r="K9" s="220" t="n">
        <v>20</v>
      </c>
      <c r="L9" s="129" t="n">
        <v>20000</v>
      </c>
      <c r="M9" s="129" t="n">
        <v>0.25</v>
      </c>
      <c r="N9" s="129" t="n">
        <v>0.25</v>
      </c>
      <c r="O9" s="127" t="n">
        <v>0.6</v>
      </c>
      <c r="P9" s="127" t="n">
        <v>0.6</v>
      </c>
      <c r="Q9" s="210" t="n">
        <v>0</v>
      </c>
      <c r="R9" s="211" t="n">
        <v>999</v>
      </c>
      <c r="S9" s="212" t="n">
        <v>0</v>
      </c>
      <c r="T9" s="210" t="n">
        <v>0</v>
      </c>
      <c r="U9" s="210" t="n">
        <v>0</v>
      </c>
      <c r="V9" s="212" t="n">
        <v>0.01</v>
      </c>
      <c r="W9" s="99" t="s">
        <v>102</v>
      </c>
      <c r="X9" s="126" t="n">
        <v>0.9</v>
      </c>
    </row>
    <row r="10" customFormat="false" ht="15.75" hidden="false" customHeight="false" outlineLevel="0" collapsed="false">
      <c r="B10" s="229" t="s">
        <v>379</v>
      </c>
      <c r="C10" s="169" t="s">
        <v>382</v>
      </c>
      <c r="D10" s="209" t="n">
        <v>100</v>
      </c>
      <c r="E10" s="214" t="n">
        <v>0</v>
      </c>
      <c r="F10" s="209" t="n">
        <v>4.224</v>
      </c>
      <c r="G10" s="209" t="n">
        <v>253.32</v>
      </c>
      <c r="H10" s="219" t="n">
        <v>1</v>
      </c>
      <c r="I10" s="35"/>
      <c r="J10" s="35"/>
      <c r="K10" s="220"/>
      <c r="L10" s="209" t="n">
        <v>20000</v>
      </c>
      <c r="M10" s="209" t="n">
        <v>0.25</v>
      </c>
      <c r="N10" s="209" t="n">
        <v>0.25</v>
      </c>
      <c r="O10" s="209" t="n">
        <v>0.6</v>
      </c>
      <c r="P10" s="209" t="n">
        <v>0.6</v>
      </c>
      <c r="Q10" s="213" t="n">
        <v>0</v>
      </c>
      <c r="R10" s="107" t="n">
        <v>999</v>
      </c>
      <c r="S10" s="213" t="n">
        <v>0</v>
      </c>
      <c r="T10" s="213" t="n">
        <v>0</v>
      </c>
      <c r="U10" s="213" t="n">
        <v>0</v>
      </c>
      <c r="V10" s="213" t="n">
        <v>0.01</v>
      </c>
      <c r="W10" s="107" t="s">
        <v>102</v>
      </c>
      <c r="X10" s="169" t="n">
        <v>0.9</v>
      </c>
    </row>
    <row r="11" customFormat="false" ht="15.75" hidden="false" customHeight="false" outlineLevel="0" collapsed="false">
      <c r="B11" s="5" t="s">
        <v>383</v>
      </c>
      <c r="C11" s="5" t="s">
        <v>384</v>
      </c>
      <c r="D11" s="126" t="n">
        <v>0.9</v>
      </c>
      <c r="E11" s="220" t="n">
        <v>0</v>
      </c>
      <c r="F11" s="230" t="n">
        <v>0</v>
      </c>
      <c r="G11" s="220" t="n">
        <v>0</v>
      </c>
      <c r="H11" s="219" t="n">
        <v>1</v>
      </c>
      <c r="I11" s="35" t="n">
        <f aca="false">RANDBETWEEN(1,40)/100</f>
        <v>0.35</v>
      </c>
      <c r="J11" s="35" t="n">
        <f aca="false">RANDBETWEEN(1,100)/100</f>
        <v>0.75</v>
      </c>
      <c r="K11" s="220" t="n">
        <v>21</v>
      </c>
      <c r="L11" s="220" t="n">
        <v>50</v>
      </c>
      <c r="M11" s="220" t="n">
        <v>1</v>
      </c>
      <c r="N11" s="220" t="n">
        <v>1</v>
      </c>
      <c r="O11" s="220" t="n">
        <v>0</v>
      </c>
      <c r="P11" s="220" t="n">
        <v>0</v>
      </c>
      <c r="Q11" s="130" t="n">
        <v>0</v>
      </c>
      <c r="R11" s="131" t="n">
        <v>999</v>
      </c>
      <c r="S11" s="132" t="n">
        <v>0</v>
      </c>
      <c r="T11" s="130" t="n">
        <v>0</v>
      </c>
      <c r="U11" s="130" t="n">
        <v>0</v>
      </c>
      <c r="V11" s="132" t="n">
        <v>0.01</v>
      </c>
      <c r="W11" s="71" t="s">
        <v>118</v>
      </c>
      <c r="X11" s="126" t="n">
        <v>0.9</v>
      </c>
    </row>
    <row r="12" customFormat="false" ht="15.75" hidden="false" customHeight="false" outlineLevel="0" collapsed="false">
      <c r="B12" s="5" t="s">
        <v>383</v>
      </c>
      <c r="C12" s="5" t="s">
        <v>385</v>
      </c>
      <c r="D12" s="126" t="n">
        <v>0.9</v>
      </c>
      <c r="E12" s="220" t="n">
        <v>0</v>
      </c>
      <c r="F12" s="230" t="n">
        <v>0</v>
      </c>
      <c r="G12" s="220" t="n">
        <v>0</v>
      </c>
      <c r="H12" s="219" t="n">
        <v>1</v>
      </c>
      <c r="I12" s="35" t="n">
        <f aca="false">RANDBETWEEN(1,40)/100</f>
        <v>0.23</v>
      </c>
      <c r="J12" s="35" t="n">
        <f aca="false">RANDBETWEEN(1,100)/100</f>
        <v>0.63</v>
      </c>
      <c r="K12" s="220" t="n">
        <v>21</v>
      </c>
      <c r="L12" s="220" t="n">
        <v>50</v>
      </c>
      <c r="M12" s="220" t="n">
        <v>1</v>
      </c>
      <c r="N12" s="220" t="n">
        <v>1</v>
      </c>
      <c r="O12" s="220" t="n">
        <v>0</v>
      </c>
      <c r="P12" s="220" t="n">
        <v>0</v>
      </c>
      <c r="Q12" s="130" t="n">
        <v>0</v>
      </c>
      <c r="R12" s="131" t="n">
        <v>999</v>
      </c>
      <c r="S12" s="132" t="n">
        <v>0</v>
      </c>
      <c r="T12" s="130" t="n">
        <v>0</v>
      </c>
      <c r="U12" s="130" t="n">
        <v>0</v>
      </c>
      <c r="V12" s="132" t="n">
        <v>0.01</v>
      </c>
      <c r="W12" s="71" t="s">
        <v>118</v>
      </c>
      <c r="X12" s="126" t="n">
        <v>0.9</v>
      </c>
    </row>
    <row r="13" customFormat="false" ht="15.75" hidden="false" customHeight="false" outlineLevel="0" collapsed="false">
      <c r="B13" s="5" t="s">
        <v>383</v>
      </c>
      <c r="C13" s="5" t="s">
        <v>386</v>
      </c>
      <c r="D13" s="126" t="n">
        <v>0.9</v>
      </c>
      <c r="E13" s="220" t="n">
        <v>0</v>
      </c>
      <c r="F13" s="230" t="n">
        <v>0</v>
      </c>
      <c r="G13" s="220" t="n">
        <v>0</v>
      </c>
      <c r="H13" s="219" t="n">
        <v>1</v>
      </c>
      <c r="I13" s="35" t="n">
        <f aca="false">RANDBETWEEN(1,40)/100</f>
        <v>0.13</v>
      </c>
      <c r="J13" s="35" t="n">
        <f aca="false">RANDBETWEEN(1,100)/100</f>
        <v>0.75</v>
      </c>
      <c r="K13" s="220" t="n">
        <v>21</v>
      </c>
      <c r="L13" s="220" t="n">
        <v>50</v>
      </c>
      <c r="M13" s="220" t="n">
        <v>1</v>
      </c>
      <c r="N13" s="220" t="n">
        <v>1</v>
      </c>
      <c r="O13" s="220" t="n">
        <v>0</v>
      </c>
      <c r="P13" s="220" t="n">
        <v>0</v>
      </c>
      <c r="Q13" s="130" t="n">
        <v>0</v>
      </c>
      <c r="R13" s="131" t="n">
        <v>999</v>
      </c>
      <c r="S13" s="132" t="n">
        <v>0</v>
      </c>
      <c r="T13" s="130" t="n">
        <v>0</v>
      </c>
      <c r="U13" s="130" t="n">
        <v>0</v>
      </c>
      <c r="V13" s="132" t="n">
        <v>0.01</v>
      </c>
      <c r="W13" s="71" t="s">
        <v>118</v>
      </c>
      <c r="X13" s="231" t="n">
        <v>0.9</v>
      </c>
    </row>
    <row r="14" customFormat="false" ht="15" hidden="false" customHeight="false" outlineLevel="0" collapsed="false">
      <c r="X14" s="232"/>
    </row>
    <row r="16" customFormat="false" ht="15" hidden="false" customHeight="false" outlineLevel="0" collapsed="false">
      <c r="A16" s="45" t="s">
        <v>133</v>
      </c>
      <c r="B16" s="45" t="s">
        <v>31</v>
      </c>
    </row>
    <row r="17" customFormat="false" ht="15" hidden="false" customHeight="false" outlineLevel="0" collapsed="false">
      <c r="A17" s="46" t="s">
        <v>387</v>
      </c>
      <c r="B17" s="46" t="s">
        <v>78</v>
      </c>
      <c r="C17" s="46"/>
    </row>
    <row r="18" customFormat="false" ht="15" hidden="false" customHeight="false" outlineLevel="0" collapsed="false">
      <c r="A18" s="46" t="s">
        <v>388</v>
      </c>
      <c r="B18" s="46" t="s">
        <v>389</v>
      </c>
      <c r="C18" s="46"/>
    </row>
    <row r="19" customFormat="false" ht="15" hidden="false" customHeight="false" outlineLevel="0" collapsed="false">
      <c r="A19" s="46" t="s">
        <v>390</v>
      </c>
      <c r="B19" s="46" t="s">
        <v>78</v>
      </c>
      <c r="C19" s="46" t="s">
        <v>391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F24"/>
  <sheetViews>
    <sheetView showFormulas="false" showGridLines="true" showRowColHeaders="true" showZeros="true" rightToLeft="false" tabSelected="false" showOutlineSymbols="true" defaultGridColor="true" view="normal" topLeftCell="A2" colorId="64" zoomScale="248" zoomScaleNormal="248" zoomScalePageLayoutView="100" workbookViewId="0">
      <selection pane="topLeft" activeCell="B15" activeCellId="0" sqref="B15"/>
    </sheetView>
  </sheetViews>
  <sheetFormatPr defaultColWidth="8.5078125" defaultRowHeight="15" zeroHeight="false" outlineLevelRow="0" outlineLevelCol="0"/>
  <cols>
    <col collapsed="false" customWidth="true" hidden="false" outlineLevel="0" max="2" min="2" style="0" width="19.33"/>
    <col collapsed="false" customWidth="true" hidden="false" outlineLevel="0" max="4" min="4" style="0" width="107.33"/>
    <col collapsed="false" customWidth="true" hidden="false" outlineLevel="0" max="6" min="6" style="0" width="53.67"/>
  </cols>
  <sheetData>
    <row r="1" customFormat="false" ht="15" hidden="false" customHeight="false" outlineLevel="0" collapsed="false">
      <c r="A1" s="26" t="s">
        <v>31</v>
      </c>
    </row>
    <row r="2" customFormat="false" ht="48" hidden="false" customHeight="false" outlineLevel="0" collapsed="false">
      <c r="A2" s="28" t="s">
        <v>392</v>
      </c>
      <c r="B2" s="233" t="s">
        <v>393</v>
      </c>
      <c r="C2" s="234" t="s">
        <v>140</v>
      </c>
      <c r="D2" s="235" t="s">
        <v>370</v>
      </c>
      <c r="F2" s="236" t="s">
        <v>394</v>
      </c>
    </row>
    <row r="3" customFormat="false" ht="15" hidden="false" customHeight="false" outlineLevel="0" collapsed="false">
      <c r="B3" s="58" t="s">
        <v>395</v>
      </c>
      <c r="C3" s="121" t="n">
        <v>1.4</v>
      </c>
      <c r="D3" s="114"/>
    </row>
    <row r="4" customFormat="false" ht="15" hidden="false" customHeight="false" outlineLevel="0" collapsed="false">
      <c r="B4" s="58" t="s">
        <v>396</v>
      </c>
      <c r="C4" s="121" t="n">
        <v>0.9</v>
      </c>
      <c r="D4" s="114"/>
    </row>
    <row r="5" customFormat="false" ht="15" hidden="false" customHeight="false" outlineLevel="0" collapsed="false">
      <c r="B5" s="58" t="s">
        <v>397</v>
      </c>
      <c r="C5" s="121" t="n">
        <v>0.1</v>
      </c>
      <c r="D5" s="237" t="s">
        <v>398</v>
      </c>
    </row>
    <row r="6" customFormat="false" ht="15" hidden="false" customHeight="false" outlineLevel="0" collapsed="false">
      <c r="B6" s="58" t="s">
        <v>399</v>
      </c>
      <c r="C6" s="121" t="n">
        <v>2</v>
      </c>
      <c r="D6" s="237" t="s">
        <v>400</v>
      </c>
    </row>
    <row r="7" customFormat="false" ht="15" hidden="false" customHeight="false" outlineLevel="0" collapsed="false">
      <c r="B7" s="58" t="s">
        <v>401</v>
      </c>
      <c r="C7" s="121" t="n">
        <v>0.8</v>
      </c>
      <c r="D7" s="237" t="s">
        <v>400</v>
      </c>
    </row>
    <row r="8" customFormat="false" ht="15" hidden="false" customHeight="false" outlineLevel="0" collapsed="false">
      <c r="B8" s="58" t="s">
        <v>402</v>
      </c>
      <c r="C8" s="121" t="n">
        <v>0.47</v>
      </c>
      <c r="D8" s="237" t="s">
        <v>400</v>
      </c>
    </row>
    <row r="9" customFormat="false" ht="15" hidden="false" customHeight="false" outlineLevel="0" collapsed="false">
      <c r="B9" s="58" t="s">
        <v>403</v>
      </c>
      <c r="C9" s="121" t="n">
        <v>1.05</v>
      </c>
      <c r="D9" s="237" t="s">
        <v>400</v>
      </c>
    </row>
    <row r="10" customFormat="false" ht="15" hidden="false" customHeight="false" outlineLevel="0" collapsed="false">
      <c r="B10" s="58" t="s">
        <v>404</v>
      </c>
      <c r="C10" s="121" t="n">
        <v>0.04</v>
      </c>
      <c r="D10" s="237" t="s">
        <v>400</v>
      </c>
    </row>
    <row r="11" customFormat="false" ht="15" hidden="false" customHeight="false" outlineLevel="0" collapsed="false">
      <c r="B11" s="58" t="s">
        <v>405</v>
      </c>
      <c r="C11" s="121" t="n">
        <v>14</v>
      </c>
      <c r="D11" s="237" t="s">
        <v>400</v>
      </c>
    </row>
    <row r="12" customFormat="false" ht="15" hidden="false" customHeight="false" outlineLevel="0" collapsed="false">
      <c r="B12" s="58" t="s">
        <v>406</v>
      </c>
      <c r="C12" s="121" t="n">
        <v>0.17</v>
      </c>
      <c r="D12" s="237" t="s">
        <v>400</v>
      </c>
    </row>
    <row r="13" customFormat="false" ht="15" hidden="false" customHeight="false" outlineLevel="0" collapsed="false">
      <c r="B13" s="58" t="s">
        <v>142</v>
      </c>
      <c r="C13" s="121" t="n">
        <v>0.15</v>
      </c>
      <c r="D13" s="237" t="s">
        <v>400</v>
      </c>
    </row>
    <row r="14" customFormat="false" ht="15" hidden="false" customHeight="false" outlineLevel="0" collapsed="false">
      <c r="B14" s="58" t="s">
        <v>407</v>
      </c>
      <c r="C14" s="121" t="n">
        <v>30</v>
      </c>
      <c r="D14" s="237"/>
    </row>
    <row r="15" customFormat="false" ht="15" hidden="false" customHeight="false" outlineLevel="0" collapsed="false">
      <c r="B15" s="58"/>
      <c r="C15" s="121"/>
      <c r="D15" s="237"/>
    </row>
    <row r="16" customFormat="false" ht="15" hidden="false" customHeight="false" outlineLevel="0" collapsed="false">
      <c r="B16" s="58"/>
      <c r="C16" s="121"/>
      <c r="D16" s="237"/>
    </row>
    <row r="17" customFormat="false" ht="15" hidden="false" customHeight="false" outlineLevel="0" collapsed="false">
      <c r="B17" s="58"/>
      <c r="C17" s="121"/>
      <c r="D17" s="237"/>
    </row>
    <row r="18" customFormat="false" ht="15" hidden="false" customHeight="false" outlineLevel="0" collapsed="false">
      <c r="B18" s="58"/>
      <c r="C18" s="121"/>
      <c r="D18" s="237"/>
    </row>
    <row r="19" customFormat="false" ht="15" hidden="false" customHeight="false" outlineLevel="0" collapsed="false">
      <c r="B19" s="58"/>
      <c r="C19" s="121"/>
      <c r="D19" s="237"/>
    </row>
    <row r="20" customFormat="false" ht="15" hidden="false" customHeight="false" outlineLevel="0" collapsed="false">
      <c r="B20" s="58"/>
      <c r="C20" s="121"/>
      <c r="D20" s="237"/>
    </row>
    <row r="21" customFormat="false" ht="15" hidden="false" customHeight="false" outlineLevel="0" collapsed="false">
      <c r="B21" s="58"/>
      <c r="C21" s="121"/>
      <c r="D21" s="237"/>
    </row>
    <row r="22" customFormat="false" ht="15" hidden="false" customHeight="false" outlineLevel="0" collapsed="false">
      <c r="B22" s="58"/>
      <c r="C22" s="121"/>
      <c r="D22" s="237"/>
    </row>
    <row r="23" customFormat="false" ht="15" hidden="false" customHeight="false" outlineLevel="0" collapsed="false">
      <c r="B23" s="58"/>
      <c r="C23" s="121"/>
      <c r="D23" s="237"/>
    </row>
    <row r="24" customFormat="false" ht="15" hidden="false" customHeight="false" outlineLevel="0" collapsed="false">
      <c r="B24" s="64"/>
      <c r="C24" s="238"/>
      <c r="D24" s="23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19"/>
  <sheetViews>
    <sheetView showFormulas="false" showGridLines="true" showRowColHeaders="true" showZeros="true" rightToLeft="false" tabSelected="false" showOutlineSymbols="true" defaultGridColor="true" view="normal" topLeftCell="A1" colorId="64" zoomScale="184" zoomScaleNormal="184" zoomScalePageLayoutView="100" workbookViewId="0">
      <selection pane="topLeft" activeCell="D20" activeCellId="0" sqref="D20"/>
    </sheetView>
  </sheetViews>
  <sheetFormatPr defaultColWidth="8.5078125" defaultRowHeight="15" zeroHeight="false" outlineLevelRow="0" outlineLevelCol="0"/>
  <cols>
    <col collapsed="false" customWidth="true" hidden="false" outlineLevel="0" max="2" min="2" style="0" width="14.5"/>
    <col collapsed="false" customWidth="true" hidden="false" outlineLevel="0" max="3" min="3" style="0" width="20"/>
    <col collapsed="false" customWidth="true" hidden="false" outlineLevel="0" max="4" min="4" style="0" width="22.33"/>
    <col collapsed="false" customWidth="true" hidden="false" outlineLevel="0" max="5" min="5" style="0" width="20.67"/>
    <col collapsed="false" customWidth="true" hidden="false" outlineLevel="0" max="6" min="6" style="0" width="16"/>
    <col collapsed="false" customWidth="true" hidden="false" outlineLevel="0" max="7" min="7" style="0" width="14.5"/>
    <col collapsed="false" customWidth="true" hidden="false" outlineLevel="0" max="9" min="8" style="0" width="13.66"/>
  </cols>
  <sheetData>
    <row r="1" customFormat="false" ht="63.75" hidden="false" customHeight="false" outlineLevel="0" collapsed="false">
      <c r="A1" s="26" t="s">
        <v>31</v>
      </c>
      <c r="D1" s="17" t="s">
        <v>408</v>
      </c>
      <c r="E1" s="24" t="s">
        <v>409</v>
      </c>
      <c r="F1" s="17" t="s">
        <v>410</v>
      </c>
    </row>
    <row r="2" customFormat="false" ht="31.5" hidden="false" customHeight="false" outlineLevel="0" collapsed="false">
      <c r="A2" s="28" t="s">
        <v>228</v>
      </c>
      <c r="B2" s="29" t="s">
        <v>79</v>
      </c>
      <c r="C2" s="30" t="s">
        <v>411</v>
      </c>
      <c r="D2" s="30" t="s">
        <v>412</v>
      </c>
      <c r="E2" s="29" t="s">
        <v>413</v>
      </c>
      <c r="F2" s="29" t="s">
        <v>414</v>
      </c>
      <c r="G2" s="29" t="s">
        <v>415</v>
      </c>
      <c r="H2" s="29" t="s">
        <v>416</v>
      </c>
    </row>
    <row r="3" customFormat="false" ht="15" hidden="false" customHeight="false" outlineLevel="0" collapsed="false">
      <c r="B3" s="5" t="s">
        <v>417</v>
      </c>
      <c r="C3" s="5" t="n">
        <v>1.2</v>
      </c>
      <c r="D3" s="5" t="n">
        <f aca="false">C3/(F3/3.6)</f>
        <v>0.096</v>
      </c>
      <c r="E3" s="5" t="n">
        <v>1.1</v>
      </c>
      <c r="F3" s="5" t="n">
        <v>45</v>
      </c>
      <c r="G3" s="5"/>
      <c r="H3" s="5" t="n">
        <v>0.05</v>
      </c>
    </row>
    <row r="4" customFormat="false" ht="15" hidden="false" customHeight="false" outlineLevel="0" collapsed="false">
      <c r="B4" s="5" t="s">
        <v>111</v>
      </c>
      <c r="C4" s="5" t="n">
        <v>0.6</v>
      </c>
      <c r="D4" s="5" t="n">
        <f aca="false">C4/(F4/3.6)</f>
        <v>0.045859872611465</v>
      </c>
      <c r="E4" s="5" t="n">
        <v>1.1</v>
      </c>
      <c r="F4" s="5" t="n">
        <v>47.1</v>
      </c>
      <c r="G4" s="5" t="n">
        <v>0.78</v>
      </c>
      <c r="H4" s="5" t="n">
        <v>0.05</v>
      </c>
    </row>
    <row r="5" customFormat="false" ht="15" hidden="false" customHeight="false" outlineLevel="0" collapsed="false">
      <c r="B5" s="5" t="s">
        <v>112</v>
      </c>
      <c r="C5" s="5" t="n">
        <v>3.15</v>
      </c>
      <c r="D5" s="5" t="n">
        <f aca="false">C5/(F5/3.6)</f>
        <v>0.266197183098591</v>
      </c>
      <c r="E5" s="5" t="n">
        <v>1.1</v>
      </c>
      <c r="F5" s="5" t="n">
        <v>42.6</v>
      </c>
      <c r="G5" s="5" t="n">
        <v>846</v>
      </c>
      <c r="H5" s="5" t="n">
        <v>0.05</v>
      </c>
    </row>
    <row r="6" customFormat="false" ht="15" hidden="false" customHeight="false" outlineLevel="0" collapsed="false">
      <c r="B6" s="5" t="s">
        <v>110</v>
      </c>
      <c r="C6" s="5" t="n">
        <v>0.8</v>
      </c>
      <c r="D6" s="5" t="n">
        <f aca="false">C6/(F6/3.6)</f>
        <v>0.0632967032967033</v>
      </c>
      <c r="E6" s="5" t="n">
        <v>1.1</v>
      </c>
      <c r="F6" s="5" t="n">
        <v>45.5</v>
      </c>
      <c r="G6" s="5" t="n">
        <v>537</v>
      </c>
      <c r="H6" s="5" t="n">
        <v>0.05</v>
      </c>
    </row>
    <row r="7" customFormat="false" ht="15" hidden="false" customHeight="false" outlineLevel="0" collapsed="false">
      <c r="B7" s="5" t="s">
        <v>418</v>
      </c>
      <c r="C7" s="5" t="n">
        <v>0.7</v>
      </c>
      <c r="D7" s="5" t="n">
        <f aca="false">C7/(F7/3.6)</f>
        <v>0.0666666666666667</v>
      </c>
      <c r="E7" s="5" t="n">
        <v>0.15</v>
      </c>
      <c r="F7" s="5" t="n">
        <v>37.8</v>
      </c>
      <c r="G7" s="5" t="n">
        <v>920</v>
      </c>
      <c r="H7" s="5" t="n">
        <v>0.05</v>
      </c>
    </row>
    <row r="8" customFormat="false" ht="15" hidden="false" customHeight="false" outlineLevel="0" collapsed="false">
      <c r="B8" s="5" t="s">
        <v>113</v>
      </c>
      <c r="C8" s="5" t="n">
        <v>0.8</v>
      </c>
      <c r="D8" s="5" t="n">
        <f aca="false">C8/(F8/3.6)</f>
        <v>0.0811267605633803</v>
      </c>
      <c r="E8" s="5" t="n">
        <v>0.15</v>
      </c>
      <c r="F8" s="5" t="n">
        <v>35.5</v>
      </c>
      <c r="G8" s="5" t="n">
        <v>800</v>
      </c>
      <c r="H8" s="5" t="n">
        <v>0.05</v>
      </c>
    </row>
    <row r="9" customFormat="false" ht="15" hidden="false" customHeight="false" outlineLevel="0" collapsed="false">
      <c r="B9" s="5" t="s">
        <v>101</v>
      </c>
      <c r="C9" s="5" t="n">
        <v>0</v>
      </c>
      <c r="D9" s="5" t="e">
        <f aca="false">C9/(F9/3.6)</f>
        <v>#VALUE!</v>
      </c>
      <c r="E9" s="5" t="n">
        <v>1.59</v>
      </c>
      <c r="F9" s="5" t="s">
        <v>419</v>
      </c>
      <c r="G9" s="5" t="s">
        <v>419</v>
      </c>
      <c r="H9" s="5" t="n">
        <v>0</v>
      </c>
    </row>
    <row r="10" customFormat="false" ht="15" hidden="false" customHeight="false" outlineLevel="0" collapsed="false">
      <c r="B10" s="5" t="s">
        <v>420</v>
      </c>
      <c r="C10" s="5" t="n">
        <v>0</v>
      </c>
      <c r="D10" s="5" t="n">
        <v>0</v>
      </c>
      <c r="E10" s="5" t="n">
        <v>1</v>
      </c>
      <c r="F10" s="5"/>
      <c r="G10" s="5"/>
      <c r="H10" s="5"/>
    </row>
    <row r="11" customFormat="false" ht="15" hidden="false" customHeight="false" outlineLevel="0" collapsed="false">
      <c r="B11" s="5" t="s">
        <v>121</v>
      </c>
      <c r="C11" s="5" t="n">
        <v>0</v>
      </c>
      <c r="D11" s="5" t="n">
        <v>0</v>
      </c>
      <c r="E11" s="5"/>
      <c r="F11" s="5"/>
      <c r="G11" s="5"/>
      <c r="H11" s="5"/>
    </row>
    <row r="12" customFormat="false" ht="15" hidden="false" customHeight="false" outlineLevel="0" collapsed="false">
      <c r="B12" s="5" t="s">
        <v>299</v>
      </c>
      <c r="C12" s="5" t="n">
        <v>0</v>
      </c>
      <c r="D12" s="5" t="n">
        <v>0</v>
      </c>
      <c r="E12" s="5"/>
      <c r="F12" s="5"/>
      <c r="G12" s="5"/>
      <c r="H12" s="5"/>
    </row>
    <row r="13" customFormat="false" ht="15" hidden="false" customHeight="false" outlineLevel="0" collapsed="false">
      <c r="B13" s="5" t="s">
        <v>313</v>
      </c>
      <c r="C13" s="5" t="n">
        <v>0</v>
      </c>
      <c r="D13" s="5" t="n">
        <v>0</v>
      </c>
      <c r="E13" s="5"/>
      <c r="F13" s="5"/>
      <c r="G13" s="5"/>
      <c r="H13" s="5"/>
    </row>
    <row r="14" customFormat="false" ht="15" hidden="false" customHeight="false" outlineLevel="0" collapsed="false">
      <c r="B14" s="5" t="s">
        <v>312</v>
      </c>
      <c r="C14" s="5" t="n">
        <v>0</v>
      </c>
      <c r="D14" s="5" t="e">
        <f aca="false">C14/(F14/3.6)</f>
        <v>#DIV/0!</v>
      </c>
      <c r="E14" s="5"/>
      <c r="F14" s="5"/>
      <c r="G14" s="5"/>
      <c r="H14" s="5"/>
    </row>
    <row r="15" customFormat="false" ht="15" hidden="false" customHeight="false" outlineLevel="0" collapsed="false">
      <c r="B15" s="5" t="s">
        <v>115</v>
      </c>
      <c r="C15" s="5" t="n">
        <v>0.5</v>
      </c>
      <c r="D15" s="5" t="n">
        <v>0.05</v>
      </c>
      <c r="E15" s="5" t="n">
        <v>1.2</v>
      </c>
      <c r="F15" s="5" t="s">
        <v>419</v>
      </c>
      <c r="G15" s="5" t="s">
        <v>419</v>
      </c>
      <c r="H15" s="5" t="s">
        <v>419</v>
      </c>
    </row>
    <row r="16" customFormat="false" ht="15.75" hidden="false" customHeight="false" outlineLevel="0" collapsed="false">
      <c r="B16" s="5" t="s">
        <v>142</v>
      </c>
      <c r="C16" s="5" t="n">
        <v>1.7</v>
      </c>
      <c r="D16" s="5" t="n">
        <f aca="false">1.7/5</f>
        <v>0.34</v>
      </c>
      <c r="E16" s="5" t="n">
        <v>1.1</v>
      </c>
      <c r="F16" s="5" t="s">
        <v>421</v>
      </c>
      <c r="G16" s="5" t="s">
        <v>419</v>
      </c>
      <c r="H16" s="5" t="s">
        <v>419</v>
      </c>
    </row>
    <row r="17" customFormat="false" ht="15.75" hidden="false" customHeight="false" outlineLevel="0" collapsed="false">
      <c r="B17" s="151" t="s">
        <v>422</v>
      </c>
      <c r="C17" s="111" t="n">
        <v>1.2</v>
      </c>
      <c r="D17" s="111" t="n">
        <v>0.25</v>
      </c>
      <c r="E17" s="111" t="n">
        <v>1.1</v>
      </c>
      <c r="F17" s="111" t="n">
        <v>45</v>
      </c>
      <c r="G17" s="111" t="n">
        <v>750</v>
      </c>
      <c r="H17" s="151"/>
    </row>
    <row r="19" customFormat="false" ht="15" hidden="false" customHeight="false" outlineLevel="0" collapsed="false">
      <c r="A19" s="44" t="s">
        <v>250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3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21" activeCellId="0" sqref="H21"/>
    </sheetView>
  </sheetViews>
  <sheetFormatPr defaultColWidth="8.5078125" defaultRowHeight="15" zeroHeight="false" outlineLevelRow="0" outlineLevelCol="0"/>
  <cols>
    <col collapsed="false" customWidth="true" hidden="false" outlineLevel="0" max="2" min="2" style="0" width="18.67"/>
    <col collapsed="false" customWidth="true" hidden="false" outlineLevel="0" max="3" min="3" style="0" width="12.33"/>
    <col collapsed="false" customWidth="true" hidden="false" outlineLevel="0" max="4" min="4" style="0" width="18.67"/>
    <col collapsed="false" customWidth="true" hidden="false" outlineLevel="0" max="5" min="5" style="0" width="17.67"/>
    <col collapsed="false" customWidth="true" hidden="false" outlineLevel="0" max="6" min="6" style="0" width="12.33"/>
    <col collapsed="false" customWidth="true" hidden="false" outlineLevel="0" max="8" min="7" style="0" width="9.66"/>
    <col collapsed="false" customWidth="true" hidden="false" outlineLevel="0" max="23" min="9" style="0" width="4"/>
    <col collapsed="false" customWidth="true" hidden="false" outlineLevel="0" max="24" min="24" style="0" width="3"/>
    <col collapsed="false" customWidth="true" hidden="false" outlineLevel="0" max="26" min="25" style="0" width="4"/>
    <col collapsed="false" customWidth="true" hidden="false" outlineLevel="0" max="27" min="27" style="0" width="11.66"/>
    <col collapsed="false" customWidth="true" hidden="false" outlineLevel="0" max="28" min="28" style="0" width="9.33"/>
    <col collapsed="false" customWidth="true" hidden="false" outlineLevel="0" max="30" min="30" style="0" width="6.34"/>
  </cols>
  <sheetData>
    <row r="1" customFormat="false" ht="15" hidden="false" customHeight="false" outlineLevel="0" collapsed="false">
      <c r="C1" s="0" t="s">
        <v>423</v>
      </c>
    </row>
    <row r="2" customFormat="false" ht="15" hidden="false" customHeight="false" outlineLevel="0" collapsed="false">
      <c r="B2" s="240" t="s">
        <v>424</v>
      </c>
      <c r="C2" s="240" t="s">
        <v>425</v>
      </c>
      <c r="D2" s="240" t="s">
        <v>426</v>
      </c>
      <c r="E2" s="240" t="s">
        <v>427</v>
      </c>
      <c r="F2" s="240" t="s">
        <v>428</v>
      </c>
      <c r="G2" s="240" t="s">
        <v>429</v>
      </c>
      <c r="H2" s="240" t="s">
        <v>430</v>
      </c>
    </row>
    <row r="3" customFormat="false" ht="15" hidden="false" customHeight="false" outlineLevel="0" collapsed="false">
      <c r="B3" s="5" t="n">
        <v>0</v>
      </c>
      <c r="C3" s="5" t="n">
        <v>0.2</v>
      </c>
      <c r="D3" s="5" t="n">
        <v>0.2</v>
      </c>
      <c r="E3" s="5" t="n">
        <v>0.2</v>
      </c>
      <c r="F3" s="5" t="n">
        <v>0.2</v>
      </c>
      <c r="G3" s="5" t="n">
        <v>0.2</v>
      </c>
      <c r="H3" s="5" t="n">
        <v>0.2</v>
      </c>
    </row>
    <row r="4" customFormat="false" ht="15" hidden="false" customHeight="false" outlineLevel="0" collapsed="false">
      <c r="B4" s="5" t="n">
        <v>1</v>
      </c>
      <c r="C4" s="5" t="n">
        <v>0.1</v>
      </c>
      <c r="D4" s="5" t="n">
        <v>0.1</v>
      </c>
      <c r="E4" s="5" t="n">
        <v>0.1</v>
      </c>
      <c r="F4" s="5" t="n">
        <v>0.1</v>
      </c>
      <c r="G4" s="5" t="n">
        <v>0.1</v>
      </c>
      <c r="H4" s="5" t="n">
        <v>0.1</v>
      </c>
    </row>
    <row r="5" customFormat="false" ht="15" hidden="false" customHeight="false" outlineLevel="0" collapsed="false">
      <c r="B5" s="5" t="n">
        <v>2</v>
      </c>
      <c r="C5" s="5" t="n">
        <v>0.1</v>
      </c>
      <c r="D5" s="5" t="n">
        <v>0.1</v>
      </c>
      <c r="E5" s="5" t="n">
        <v>0.1</v>
      </c>
      <c r="F5" s="5" t="n">
        <v>0.1</v>
      </c>
      <c r="G5" s="5" t="n">
        <v>0.1</v>
      </c>
      <c r="H5" s="5" t="n">
        <v>0.1</v>
      </c>
    </row>
    <row r="6" customFormat="false" ht="15" hidden="false" customHeight="false" outlineLevel="0" collapsed="false">
      <c r="B6" s="5" t="n">
        <v>3</v>
      </c>
      <c r="C6" s="5" t="n">
        <v>0.2</v>
      </c>
      <c r="D6" s="5" t="n">
        <v>0.2</v>
      </c>
      <c r="E6" s="5" t="n">
        <v>0.2</v>
      </c>
      <c r="F6" s="5" t="n">
        <v>0.2</v>
      </c>
      <c r="G6" s="5" t="n">
        <v>0.2</v>
      </c>
      <c r="H6" s="5" t="n">
        <v>0.2</v>
      </c>
    </row>
    <row r="7" customFormat="false" ht="15" hidden="false" customHeight="false" outlineLevel="0" collapsed="false">
      <c r="B7" s="5" t="n">
        <v>4</v>
      </c>
      <c r="C7" s="5" t="n">
        <v>0.3</v>
      </c>
      <c r="D7" s="5" t="n">
        <v>0.3</v>
      </c>
      <c r="E7" s="5" t="n">
        <v>0.3</v>
      </c>
      <c r="F7" s="5" t="n">
        <v>0.3</v>
      </c>
      <c r="G7" s="5" t="n">
        <v>0.3</v>
      </c>
      <c r="H7" s="5" t="n">
        <v>0.3</v>
      </c>
    </row>
    <row r="8" customFormat="false" ht="15" hidden="false" customHeight="false" outlineLevel="0" collapsed="false">
      <c r="B8" s="5" t="n">
        <v>5</v>
      </c>
      <c r="C8" s="5" t="n">
        <v>0.4</v>
      </c>
      <c r="D8" s="5" t="n">
        <v>0.4</v>
      </c>
      <c r="E8" s="5" t="n">
        <v>0.4</v>
      </c>
      <c r="F8" s="5" t="n">
        <v>0.4</v>
      </c>
      <c r="G8" s="5" t="n">
        <v>0.4</v>
      </c>
      <c r="H8" s="5" t="n">
        <v>0.4</v>
      </c>
    </row>
    <row r="9" customFormat="false" ht="15" hidden="false" customHeight="false" outlineLevel="0" collapsed="false">
      <c r="B9" s="5" t="n">
        <v>6</v>
      </c>
      <c r="C9" s="5" t="n">
        <v>0.5</v>
      </c>
      <c r="D9" s="5" t="n">
        <v>0.5</v>
      </c>
      <c r="E9" s="5" t="n">
        <v>0.5</v>
      </c>
      <c r="F9" s="5" t="n">
        <v>0.5</v>
      </c>
      <c r="G9" s="5" t="n">
        <v>0.5</v>
      </c>
      <c r="H9" s="5" t="n">
        <v>0.5</v>
      </c>
    </row>
    <row r="10" customFormat="false" ht="15" hidden="false" customHeight="false" outlineLevel="0" collapsed="false">
      <c r="B10" s="5" t="n">
        <v>7</v>
      </c>
      <c r="C10" s="5" t="n">
        <v>0.6</v>
      </c>
      <c r="D10" s="5" t="n">
        <v>0.6</v>
      </c>
      <c r="E10" s="5" t="n">
        <v>0.6</v>
      </c>
      <c r="F10" s="5" t="n">
        <v>0.6</v>
      </c>
      <c r="G10" s="5" t="n">
        <v>0.6</v>
      </c>
      <c r="H10" s="5" t="n">
        <v>0.6</v>
      </c>
    </row>
    <row r="11" customFormat="false" ht="15" hidden="false" customHeight="false" outlineLevel="0" collapsed="false">
      <c r="B11" s="5" t="n">
        <v>8</v>
      </c>
      <c r="C11" s="5" t="n">
        <v>0.6</v>
      </c>
      <c r="D11" s="5" t="n">
        <v>0.6</v>
      </c>
      <c r="E11" s="5" t="n">
        <v>0.6</v>
      </c>
      <c r="F11" s="5" t="n">
        <v>0.6</v>
      </c>
      <c r="G11" s="5" t="n">
        <v>0.6</v>
      </c>
      <c r="H11" s="5" t="n">
        <v>0.6</v>
      </c>
    </row>
    <row r="12" customFormat="false" ht="15" hidden="false" customHeight="false" outlineLevel="0" collapsed="false">
      <c r="B12" s="5" t="n">
        <v>9</v>
      </c>
      <c r="C12" s="5" t="n">
        <v>0.5</v>
      </c>
      <c r="D12" s="5" t="n">
        <v>0.5</v>
      </c>
      <c r="E12" s="5" t="n">
        <v>0.5</v>
      </c>
      <c r="F12" s="5" t="n">
        <v>0.5</v>
      </c>
      <c r="G12" s="5" t="n">
        <v>0.5</v>
      </c>
      <c r="H12" s="5" t="n">
        <v>0.5</v>
      </c>
    </row>
    <row r="13" customFormat="false" ht="15" hidden="false" customHeight="false" outlineLevel="0" collapsed="false">
      <c r="B13" s="5" t="n">
        <v>10</v>
      </c>
      <c r="C13" s="5" t="n">
        <v>0.4</v>
      </c>
      <c r="D13" s="5" t="n">
        <v>0.4</v>
      </c>
      <c r="E13" s="5" t="n">
        <v>0.4</v>
      </c>
      <c r="F13" s="5" t="n">
        <v>0.4</v>
      </c>
      <c r="G13" s="5" t="n">
        <v>0.4</v>
      </c>
      <c r="H13" s="5" t="n">
        <v>0.4</v>
      </c>
    </row>
    <row r="14" customFormat="false" ht="15" hidden="false" customHeight="false" outlineLevel="0" collapsed="false">
      <c r="B14" s="5" t="n">
        <v>11</v>
      </c>
      <c r="C14" s="5" t="n">
        <v>0.3</v>
      </c>
      <c r="D14" s="5" t="n">
        <v>0.3</v>
      </c>
      <c r="E14" s="5" t="n">
        <v>0.3</v>
      </c>
      <c r="F14" s="5" t="n">
        <v>0.3</v>
      </c>
      <c r="G14" s="5" t="n">
        <v>0.3</v>
      </c>
      <c r="H14" s="5" t="n">
        <v>0.3</v>
      </c>
    </row>
    <row r="15" customFormat="false" ht="15" hidden="false" customHeight="false" outlineLevel="0" collapsed="false">
      <c r="B15" s="5" t="n">
        <v>12</v>
      </c>
      <c r="C15" s="5" t="n">
        <v>0.3</v>
      </c>
      <c r="D15" s="5" t="n">
        <v>0.3</v>
      </c>
      <c r="E15" s="5" t="n">
        <v>0.3</v>
      </c>
      <c r="F15" s="5" t="n">
        <v>0.3</v>
      </c>
      <c r="G15" s="5" t="n">
        <v>0.3</v>
      </c>
      <c r="H15" s="5" t="n">
        <v>0.3</v>
      </c>
    </row>
    <row r="16" customFormat="false" ht="15" hidden="false" customHeight="false" outlineLevel="0" collapsed="false">
      <c r="B16" s="5" t="n">
        <v>13</v>
      </c>
      <c r="C16" s="5" t="n">
        <v>0.3</v>
      </c>
      <c r="D16" s="5" t="n">
        <v>0.3</v>
      </c>
      <c r="E16" s="5" t="n">
        <v>0.3</v>
      </c>
      <c r="F16" s="5" t="n">
        <v>0.3</v>
      </c>
      <c r="G16" s="5" t="n">
        <v>0.3</v>
      </c>
      <c r="H16" s="5" t="n">
        <v>0.3</v>
      </c>
    </row>
    <row r="17" customFormat="false" ht="15" hidden="false" customHeight="false" outlineLevel="0" collapsed="false">
      <c r="B17" s="5" t="n">
        <v>14</v>
      </c>
      <c r="C17" s="5" t="n">
        <v>0.4</v>
      </c>
      <c r="D17" s="5" t="n">
        <v>0.4</v>
      </c>
      <c r="E17" s="5" t="n">
        <v>0.4</v>
      </c>
      <c r="F17" s="5" t="n">
        <v>0.4</v>
      </c>
      <c r="G17" s="5" t="n">
        <v>0.4</v>
      </c>
      <c r="H17" s="5" t="n">
        <v>0.4</v>
      </c>
    </row>
    <row r="18" customFormat="false" ht="15" hidden="false" customHeight="false" outlineLevel="0" collapsed="false">
      <c r="B18" s="5" t="n">
        <v>15</v>
      </c>
      <c r="C18" s="5" t="n">
        <v>0.5</v>
      </c>
      <c r="D18" s="5" t="n">
        <v>0.5</v>
      </c>
      <c r="E18" s="5" t="n">
        <v>0.5</v>
      </c>
      <c r="F18" s="5" t="n">
        <v>0.5</v>
      </c>
      <c r="G18" s="5" t="n">
        <v>0.5</v>
      </c>
      <c r="H18" s="5" t="n">
        <v>0.5</v>
      </c>
    </row>
    <row r="19" customFormat="false" ht="15" hidden="false" customHeight="false" outlineLevel="0" collapsed="false">
      <c r="B19" s="5" t="n">
        <v>16</v>
      </c>
      <c r="C19" s="5" t="n">
        <v>0.6</v>
      </c>
      <c r="D19" s="5" t="n">
        <v>0.6</v>
      </c>
      <c r="E19" s="5" t="n">
        <v>0.6</v>
      </c>
      <c r="F19" s="5" t="n">
        <v>0.6</v>
      </c>
      <c r="G19" s="5" t="n">
        <v>0.6</v>
      </c>
      <c r="H19" s="5" t="n">
        <v>0.6</v>
      </c>
    </row>
    <row r="20" customFormat="false" ht="15" hidden="false" customHeight="false" outlineLevel="0" collapsed="false">
      <c r="B20" s="5" t="n">
        <v>17</v>
      </c>
      <c r="C20" s="5" t="n">
        <v>0.7</v>
      </c>
      <c r="D20" s="5" t="n">
        <v>0.7</v>
      </c>
      <c r="E20" s="5" t="n">
        <v>0.7</v>
      </c>
      <c r="F20" s="5" t="n">
        <v>0.7</v>
      </c>
      <c r="G20" s="5" t="n">
        <v>0.7</v>
      </c>
      <c r="H20" s="5" t="n">
        <v>0.7</v>
      </c>
    </row>
    <row r="21" customFormat="false" ht="15" hidden="false" customHeight="false" outlineLevel="0" collapsed="false">
      <c r="B21" s="5" t="n">
        <v>18</v>
      </c>
      <c r="C21" s="5" t="n">
        <v>0.8</v>
      </c>
      <c r="D21" s="5" t="n">
        <v>0.8</v>
      </c>
      <c r="E21" s="5" t="n">
        <v>0.8</v>
      </c>
      <c r="F21" s="5" t="n">
        <v>0.8</v>
      </c>
      <c r="G21" s="5" t="n">
        <v>0.8</v>
      </c>
      <c r="H21" s="5" t="n">
        <v>0.8</v>
      </c>
    </row>
    <row r="22" customFormat="false" ht="15" hidden="false" customHeight="false" outlineLevel="0" collapsed="false">
      <c r="B22" s="5" t="n">
        <v>19</v>
      </c>
      <c r="C22" s="5" t="n">
        <v>0.9</v>
      </c>
      <c r="D22" s="5" t="n">
        <v>0.9</v>
      </c>
      <c r="E22" s="5" t="n">
        <v>0.9</v>
      </c>
      <c r="F22" s="5" t="n">
        <v>0.9</v>
      </c>
      <c r="G22" s="5" t="n">
        <v>0.9</v>
      </c>
      <c r="H22" s="5" t="n">
        <v>0.9</v>
      </c>
    </row>
    <row r="23" customFormat="false" ht="15" hidden="false" customHeight="false" outlineLevel="0" collapsed="false">
      <c r="B23" s="5" t="n">
        <v>20</v>
      </c>
      <c r="C23" s="5" t="n">
        <v>0.9</v>
      </c>
      <c r="D23" s="5" t="n">
        <v>0.9</v>
      </c>
      <c r="E23" s="5" t="n">
        <v>0.9</v>
      </c>
      <c r="F23" s="5" t="n">
        <v>0.9</v>
      </c>
      <c r="G23" s="5" t="n">
        <v>0.9</v>
      </c>
      <c r="H23" s="5" t="n">
        <v>0.9</v>
      </c>
    </row>
    <row r="24" customFormat="false" ht="15" hidden="false" customHeight="false" outlineLevel="0" collapsed="false">
      <c r="B24" s="5" t="n">
        <v>21</v>
      </c>
      <c r="C24" s="5" t="n">
        <v>1</v>
      </c>
      <c r="D24" s="5" t="n">
        <v>1</v>
      </c>
      <c r="E24" s="5" t="n">
        <v>1</v>
      </c>
      <c r="F24" s="5" t="n">
        <v>1</v>
      </c>
      <c r="G24" s="5" t="n">
        <v>1</v>
      </c>
      <c r="H24" s="5" t="n">
        <v>1</v>
      </c>
    </row>
    <row r="25" customFormat="false" ht="15" hidden="false" customHeight="false" outlineLevel="0" collapsed="false">
      <c r="B25" s="5" t="n">
        <v>22</v>
      </c>
      <c r="C25" s="5" t="n">
        <v>0.6</v>
      </c>
      <c r="D25" s="5" t="n">
        <v>0.6</v>
      </c>
      <c r="E25" s="5" t="n">
        <v>0.6</v>
      </c>
      <c r="F25" s="5" t="n">
        <v>0.6</v>
      </c>
      <c r="G25" s="5" t="n">
        <v>0.6</v>
      </c>
      <c r="H25" s="5" t="n">
        <v>0.6</v>
      </c>
    </row>
    <row r="26" customFormat="false" ht="15" hidden="false" customHeight="false" outlineLevel="0" collapsed="false">
      <c r="B26" s="5" t="n">
        <v>23</v>
      </c>
      <c r="C26" s="5" t="n">
        <v>0.5</v>
      </c>
      <c r="D26" s="5" t="n">
        <v>0.5</v>
      </c>
      <c r="E26" s="5" t="n">
        <v>0.5</v>
      </c>
      <c r="F26" s="5" t="n">
        <v>0.5</v>
      </c>
      <c r="G26" s="5" t="n">
        <v>0.6</v>
      </c>
      <c r="H26" s="5" t="n">
        <v>0.6</v>
      </c>
    </row>
    <row r="27" customFormat="false" ht="15" hidden="false" customHeight="false" outlineLevel="0" collapsed="false">
      <c r="B27" s="5" t="s">
        <v>431</v>
      </c>
      <c r="C27" s="5" t="n">
        <v>1.04</v>
      </c>
      <c r="D27" s="5" t="n">
        <v>1.04</v>
      </c>
      <c r="E27" s="5" t="n">
        <v>1.04</v>
      </c>
      <c r="F27" s="5" t="n">
        <v>1.04</v>
      </c>
      <c r="G27" s="5" t="n">
        <v>1.04</v>
      </c>
      <c r="H27" s="5" t="n">
        <v>1.04</v>
      </c>
    </row>
    <row r="28" customFormat="false" ht="15" hidden="false" customHeight="false" outlineLevel="0" collapsed="false">
      <c r="B28" s="5" t="s">
        <v>432</v>
      </c>
      <c r="C28" s="5" t="n">
        <v>0.1</v>
      </c>
      <c r="D28" s="5" t="n">
        <v>0.1</v>
      </c>
      <c r="E28" s="5" t="n">
        <v>0.1</v>
      </c>
      <c r="F28" s="5" t="n">
        <v>0.1</v>
      </c>
      <c r="G28" s="5" t="n">
        <v>0.1</v>
      </c>
      <c r="H28" s="5" t="n">
        <v>0.1</v>
      </c>
    </row>
    <row r="29" customFormat="false" ht="15" hidden="false" customHeight="false" outlineLevel="0" collapsed="false">
      <c r="B29" s="5" t="s">
        <v>433</v>
      </c>
      <c r="C29" s="5" t="n">
        <v>0.844</v>
      </c>
      <c r="D29" s="5" t="n">
        <v>0.844</v>
      </c>
      <c r="E29" s="5" t="n">
        <v>0.844</v>
      </c>
      <c r="F29" s="5" t="n">
        <v>0.844</v>
      </c>
      <c r="G29" s="5" t="n">
        <v>0.844</v>
      </c>
      <c r="H29" s="5" t="n">
        <v>0.844</v>
      </c>
    </row>
    <row r="30" customFormat="false" ht="15" hidden="false" customHeight="false" outlineLevel="0" collapsed="false">
      <c r="B30" s="5" t="s">
        <v>434</v>
      </c>
      <c r="C30" s="5" t="n">
        <v>0.1</v>
      </c>
      <c r="D30" s="5" t="n">
        <v>0.1</v>
      </c>
      <c r="E30" s="5" t="n">
        <v>0.1</v>
      </c>
      <c r="F30" s="5" t="n">
        <v>0.1</v>
      </c>
      <c r="G30" s="5" t="n">
        <v>0.1</v>
      </c>
      <c r="H30" s="5" t="n">
        <v>0.1</v>
      </c>
    </row>
    <row r="34" customFormat="false" ht="15" hidden="false" customHeight="false" outlineLevel="0" collapsed="false">
      <c r="A34" s="44" t="s">
        <v>250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W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ColWidth="8.5078125" defaultRowHeight="15" zeroHeight="false" outlineLevelRow="0" outlineLevelCol="0"/>
  <cols>
    <col collapsed="false" customWidth="true" hidden="false" outlineLevel="0" max="2" min="2" style="0" width="13.51"/>
    <col collapsed="false" customWidth="true" hidden="false" outlineLevel="0" max="4" min="3" style="0" width="10.51"/>
    <col collapsed="false" customWidth="true" hidden="false" outlineLevel="0" max="5" min="5" style="0" width="20.33"/>
    <col collapsed="false" customWidth="true" hidden="false" outlineLevel="0" max="6" min="6" style="0" width="22.33"/>
    <col collapsed="false" customWidth="true" hidden="false" outlineLevel="0" max="7" min="7" style="0" width="10.33"/>
    <col collapsed="false" customWidth="true" hidden="false" outlineLevel="0" max="8" min="8" style="0" width="14.66"/>
    <col collapsed="false" customWidth="true" hidden="false" outlineLevel="0" max="12" min="9" style="0" width="11.51"/>
    <col collapsed="false" customWidth="true" hidden="false" outlineLevel="0" max="13" min="13" style="0" width="10.51"/>
    <col collapsed="false" customWidth="true" hidden="false" outlineLevel="0" max="14" min="14" style="0" width="10.33"/>
    <col collapsed="false" customWidth="true" hidden="false" outlineLevel="0" max="15" min="15" style="0" width="10.66"/>
    <col collapsed="false" customWidth="true" hidden="false" outlineLevel="0" max="16" min="16" style="0" width="9.33"/>
    <col collapsed="false" customWidth="true" hidden="false" outlineLevel="0" max="17" min="17" style="0" width="15.5"/>
    <col collapsed="false" customWidth="true" hidden="false" outlineLevel="0" max="18" min="18" style="0" width="18.67"/>
    <col collapsed="false" customWidth="true" hidden="false" outlineLevel="0" max="19" min="19" style="0" width="19"/>
    <col collapsed="false" customWidth="true" hidden="false" outlineLevel="0" max="20" min="20" style="0" width="17.67"/>
    <col collapsed="false" customWidth="true" hidden="false" outlineLevel="0" max="21" min="21" style="0" width="14.33"/>
    <col collapsed="false" customWidth="true" hidden="false" outlineLevel="0" max="22" min="22" style="0" width="30.33"/>
    <col collapsed="false" customWidth="true" hidden="false" outlineLevel="0" max="23" min="23" style="0" width="13.51"/>
  </cols>
  <sheetData>
    <row r="1" s="27" customFormat="true" ht="41.25" hidden="false" customHeight="true" outlineLevel="0" collapsed="false">
      <c r="A1" s="26" t="s">
        <v>31</v>
      </c>
      <c r="E1" s="47" t="s">
        <v>135</v>
      </c>
      <c r="F1" s="48" t="s">
        <v>136</v>
      </c>
      <c r="G1" s="48"/>
      <c r="H1" s="48"/>
      <c r="I1" s="48"/>
      <c r="L1" s="27" t="s">
        <v>77</v>
      </c>
      <c r="V1" s="27" t="s">
        <v>137</v>
      </c>
    </row>
    <row r="2" customFormat="false" ht="31.5" hidden="false" customHeight="false" outlineLevel="0" collapsed="false">
      <c r="A2" s="28" t="s">
        <v>138</v>
      </c>
      <c r="B2" s="29" t="s">
        <v>424</v>
      </c>
      <c r="C2" s="29" t="s">
        <v>435</v>
      </c>
      <c r="D2" s="30" t="s">
        <v>140</v>
      </c>
      <c r="E2" s="29" t="s">
        <v>141</v>
      </c>
      <c r="F2" s="30" t="s">
        <v>436</v>
      </c>
      <c r="G2" s="30" t="s">
        <v>437</v>
      </c>
      <c r="H2" s="30" t="s">
        <v>438</v>
      </c>
      <c r="I2" s="30" t="s">
        <v>439</v>
      </c>
      <c r="J2" s="30" t="s">
        <v>23</v>
      </c>
      <c r="K2" s="30" t="s">
        <v>25</v>
      </c>
      <c r="L2" s="29" t="s">
        <v>27</v>
      </c>
      <c r="M2" s="29" t="s">
        <v>6</v>
      </c>
      <c r="N2" s="30" t="s">
        <v>30</v>
      </c>
      <c r="O2" s="30" t="s">
        <v>33</v>
      </c>
      <c r="P2" s="29" t="s">
        <v>36</v>
      </c>
      <c r="Q2" s="29" t="s">
        <v>92</v>
      </c>
      <c r="R2" s="29" t="s">
        <v>93</v>
      </c>
      <c r="S2" s="29" t="s">
        <v>94</v>
      </c>
      <c r="T2" s="29" t="s">
        <v>95</v>
      </c>
      <c r="U2" s="29" t="s">
        <v>96</v>
      </c>
      <c r="V2" s="29" t="s">
        <v>440</v>
      </c>
      <c r="W2" s="49" t="s">
        <v>98</v>
      </c>
    </row>
    <row r="3" customFormat="false" ht="15" hidden="false" customHeight="false" outlineLevel="0" collapsed="false">
      <c r="B3" s="5" t="s">
        <v>150</v>
      </c>
      <c r="C3" s="6" t="n">
        <v>1</v>
      </c>
      <c r="D3" s="6" t="n">
        <f aca="false">(1-$G$27)*$G$28/C3 + $G$27*C26</f>
        <v>1.045</v>
      </c>
      <c r="E3" s="6" t="n">
        <v>0.08</v>
      </c>
      <c r="F3" s="32" t="n">
        <f aca="false">F4-50</f>
        <v>148</v>
      </c>
      <c r="G3" s="33" t="n">
        <v>0</v>
      </c>
      <c r="H3" s="40" t="n">
        <v>0.5</v>
      </c>
      <c r="I3" s="50" t="n">
        <v>130</v>
      </c>
      <c r="J3" s="35" t="n">
        <f aca="false">RANDBETWEEN(1,40)/100</f>
        <v>0.37</v>
      </c>
      <c r="K3" s="35" t="n">
        <f aca="false">RANDBETWEEN(1,100)/100</f>
        <v>0.72</v>
      </c>
      <c r="L3" s="5" t="n">
        <f aca="false">RANDBETWEEN(10,50)</f>
        <v>22</v>
      </c>
      <c r="M3" s="32" t="n">
        <v>60</v>
      </c>
      <c r="N3" s="32" t="n">
        <v>1</v>
      </c>
      <c r="O3" s="32" t="n">
        <v>0</v>
      </c>
      <c r="P3" s="32" t="n">
        <v>0</v>
      </c>
      <c r="Q3" s="35" t="n">
        <v>0</v>
      </c>
      <c r="R3" s="40" t="n">
        <v>20</v>
      </c>
      <c r="S3" s="33" t="n">
        <v>0.1</v>
      </c>
      <c r="T3" s="35" t="n">
        <v>0</v>
      </c>
      <c r="U3" s="35" t="n">
        <v>0</v>
      </c>
      <c r="V3" s="33" t="n">
        <v>0</v>
      </c>
      <c r="W3" s="5" t="s">
        <v>102</v>
      </c>
    </row>
    <row r="4" customFormat="false" ht="15" hidden="false" customHeight="false" outlineLevel="0" collapsed="false">
      <c r="B4" s="5" t="s">
        <v>150</v>
      </c>
      <c r="C4" s="6" t="n">
        <v>2</v>
      </c>
      <c r="D4" s="6" t="n">
        <f aca="false">(1-$G$27)*$G$28/C4 + $G$27*C26</f>
        <v>0.5725</v>
      </c>
      <c r="E4" s="6" t="n">
        <v>0.06</v>
      </c>
      <c r="F4" s="32" t="n">
        <f aca="false">148+50</f>
        <v>198</v>
      </c>
      <c r="G4" s="33" t="n">
        <v>0</v>
      </c>
      <c r="H4" s="40" t="n">
        <v>0.5</v>
      </c>
      <c r="I4" s="241" t="n">
        <v>130</v>
      </c>
      <c r="J4" s="35" t="n">
        <f aca="false">RANDBETWEEN(1,40)/100</f>
        <v>0.32</v>
      </c>
      <c r="K4" s="35" t="n">
        <f aca="false">RANDBETWEEN(1,100)/100</f>
        <v>0.38</v>
      </c>
      <c r="L4" s="5" t="n">
        <f aca="false">RANDBETWEEN(10,50)</f>
        <v>36</v>
      </c>
      <c r="M4" s="32" t="n">
        <v>60</v>
      </c>
      <c r="N4" s="32" t="n">
        <v>1</v>
      </c>
      <c r="O4" s="32" t="n">
        <v>0</v>
      </c>
      <c r="P4" s="32" t="n">
        <v>0</v>
      </c>
      <c r="Q4" s="35" t="n">
        <v>0</v>
      </c>
      <c r="R4" s="40" t="n">
        <v>20</v>
      </c>
      <c r="S4" s="33" t="n">
        <v>0.1</v>
      </c>
      <c r="T4" s="35" t="n">
        <v>0</v>
      </c>
      <c r="U4" s="35" t="n">
        <v>0</v>
      </c>
      <c r="V4" s="33" t="n">
        <v>0</v>
      </c>
      <c r="W4" s="5" t="s">
        <v>102</v>
      </c>
    </row>
    <row r="5" customFormat="false" ht="15" hidden="false" customHeight="false" outlineLevel="0" collapsed="false">
      <c r="B5" s="5" t="s">
        <v>150</v>
      </c>
      <c r="C5" s="6" t="n">
        <v>3</v>
      </c>
      <c r="D5" s="6" t="n">
        <f aca="false">(1-$G$27)*$G$28/C5 + $G$27*C26</f>
        <v>0.415</v>
      </c>
      <c r="E5" s="6" t="n">
        <v>0.06</v>
      </c>
      <c r="F5" s="32" t="n">
        <f aca="false">204+50</f>
        <v>254</v>
      </c>
      <c r="G5" s="33" t="n">
        <v>0</v>
      </c>
      <c r="H5" s="40" t="n">
        <v>0.5</v>
      </c>
      <c r="I5" s="50" t="n">
        <v>120</v>
      </c>
      <c r="J5" s="35" t="n">
        <f aca="false">RANDBETWEEN(1,40)/100</f>
        <v>0.24</v>
      </c>
      <c r="K5" s="35" t="n">
        <f aca="false">RANDBETWEEN(1,100)/100</f>
        <v>0.94</v>
      </c>
      <c r="L5" s="5" t="n">
        <f aca="false">RANDBETWEEN(10,50)</f>
        <v>17</v>
      </c>
      <c r="M5" s="32" t="n">
        <v>60</v>
      </c>
      <c r="N5" s="32" t="n">
        <v>1</v>
      </c>
      <c r="O5" s="32" t="n">
        <v>0</v>
      </c>
      <c r="P5" s="32" t="n">
        <v>0</v>
      </c>
      <c r="Q5" s="35" t="n">
        <v>0</v>
      </c>
      <c r="R5" s="40" t="n">
        <v>20</v>
      </c>
      <c r="S5" s="33" t="n">
        <v>0.1</v>
      </c>
      <c r="T5" s="35" t="n">
        <v>0</v>
      </c>
      <c r="U5" s="35" t="n">
        <v>0</v>
      </c>
      <c r="V5" s="33" t="n">
        <v>0</v>
      </c>
      <c r="W5" s="5" t="s">
        <v>102</v>
      </c>
    </row>
    <row r="6" customFormat="false" ht="15" hidden="false" customHeight="false" outlineLevel="0" collapsed="false">
      <c r="B6" s="5" t="s">
        <v>155</v>
      </c>
      <c r="C6" s="6" t="n">
        <v>1</v>
      </c>
      <c r="D6" s="6" t="n">
        <f aca="false">(1-$G$27)*$G$28/C6 + $G$27*C28</f>
        <v>1.245</v>
      </c>
      <c r="E6" s="6" t="n">
        <v>0.02</v>
      </c>
      <c r="F6" s="32" t="n">
        <v>373</v>
      </c>
      <c r="G6" s="33" t="n">
        <v>0</v>
      </c>
      <c r="H6" s="32" t="n">
        <v>0.449</v>
      </c>
      <c r="I6" s="241" t="n">
        <v>34.4</v>
      </c>
      <c r="J6" s="35" t="n">
        <f aca="false">RANDBETWEEN(1,40)/100</f>
        <v>0.24</v>
      </c>
      <c r="K6" s="35" t="n">
        <f aca="false">RANDBETWEEN(1,100)/100</f>
        <v>0.38</v>
      </c>
      <c r="L6" s="5" t="n">
        <f aca="false">RANDBETWEEN(10,50)</f>
        <v>45</v>
      </c>
      <c r="M6" s="32" t="n">
        <v>45</v>
      </c>
      <c r="N6" s="32" t="n">
        <v>1</v>
      </c>
      <c r="O6" s="32" t="n">
        <v>0</v>
      </c>
      <c r="P6" s="32" t="n">
        <v>0</v>
      </c>
      <c r="Q6" s="35" t="n">
        <v>0</v>
      </c>
      <c r="R6" s="40" t="n">
        <v>999</v>
      </c>
      <c r="S6" s="33" t="n">
        <v>0</v>
      </c>
      <c r="T6" s="35" t="n">
        <v>0</v>
      </c>
      <c r="U6" s="35" t="n">
        <v>0</v>
      </c>
      <c r="V6" s="33" t="n">
        <v>0</v>
      </c>
      <c r="W6" s="5" t="s">
        <v>102</v>
      </c>
    </row>
    <row r="7" customFormat="false" ht="15" hidden="false" customHeight="false" outlineLevel="0" collapsed="false">
      <c r="B7" s="5" t="s">
        <v>155</v>
      </c>
      <c r="C7" s="6" t="n">
        <v>2</v>
      </c>
      <c r="D7" s="6" t="n">
        <f aca="false">(1-$G$27)*$G$28/C7 + $G$27*C28</f>
        <v>0.7725</v>
      </c>
      <c r="E7" s="6" t="n">
        <v>0.005</v>
      </c>
      <c r="F7" s="32" t="n">
        <f aca="false">373+50</f>
        <v>423</v>
      </c>
      <c r="G7" s="33" t="n">
        <v>0</v>
      </c>
      <c r="H7" s="40" t="n">
        <v>0.4</v>
      </c>
      <c r="I7" s="241" t="n">
        <v>486</v>
      </c>
      <c r="J7" s="35" t="n">
        <f aca="false">RANDBETWEEN(1,40)/100</f>
        <v>0.39</v>
      </c>
      <c r="K7" s="35" t="n">
        <f aca="false">RANDBETWEEN(1,100)/100</f>
        <v>0.19</v>
      </c>
      <c r="L7" s="5" t="n">
        <f aca="false">RANDBETWEEN(10,50)</f>
        <v>34</v>
      </c>
      <c r="M7" s="32" t="n">
        <v>45</v>
      </c>
      <c r="N7" s="32" t="n">
        <v>1</v>
      </c>
      <c r="O7" s="32" t="n">
        <v>0</v>
      </c>
      <c r="P7" s="32" t="n">
        <v>0</v>
      </c>
      <c r="Q7" s="35" t="n">
        <v>0</v>
      </c>
      <c r="R7" s="40" t="n">
        <v>999</v>
      </c>
      <c r="S7" s="33" t="n">
        <v>0</v>
      </c>
      <c r="T7" s="35" t="n">
        <v>0</v>
      </c>
      <c r="U7" s="35" t="n">
        <v>0</v>
      </c>
      <c r="V7" s="33" t="n">
        <v>0</v>
      </c>
      <c r="W7" s="5" t="s">
        <v>102</v>
      </c>
    </row>
    <row r="8" customFormat="false" ht="15" hidden="false" customHeight="false" outlineLevel="0" collapsed="false">
      <c r="B8" s="5" t="s">
        <v>155</v>
      </c>
      <c r="C8" s="6" t="n">
        <v>3</v>
      </c>
      <c r="D8" s="6" t="n">
        <f aca="false">(1-$G$27)*$G$28/C8 + $G$27*C28</f>
        <v>0.615</v>
      </c>
      <c r="E8" s="6" t="n">
        <v>0.001</v>
      </c>
      <c r="F8" s="32" t="n">
        <f aca="false">575+50</f>
        <v>625</v>
      </c>
      <c r="G8" s="33" t="n">
        <v>0</v>
      </c>
      <c r="H8" s="32" t="n">
        <v>0.765</v>
      </c>
      <c r="I8" s="241" t="n">
        <v>57.8</v>
      </c>
      <c r="J8" s="35" t="n">
        <f aca="false">RANDBETWEEN(1,40)/100</f>
        <v>0.04</v>
      </c>
      <c r="K8" s="35" t="n">
        <f aca="false">RANDBETWEEN(1,100)/100</f>
        <v>0.88</v>
      </c>
      <c r="L8" s="5" t="n">
        <f aca="false">RANDBETWEEN(10,50)</f>
        <v>31</v>
      </c>
      <c r="M8" s="32" t="n">
        <v>45</v>
      </c>
      <c r="N8" s="32" t="n">
        <v>1</v>
      </c>
      <c r="O8" s="32" t="n">
        <v>0</v>
      </c>
      <c r="P8" s="32" t="n">
        <v>0</v>
      </c>
      <c r="Q8" s="35" t="n">
        <v>0</v>
      </c>
      <c r="R8" s="40" t="n">
        <v>999</v>
      </c>
      <c r="S8" s="33" t="n">
        <v>0</v>
      </c>
      <c r="T8" s="35" t="n">
        <v>0</v>
      </c>
      <c r="U8" s="35" t="n">
        <v>0</v>
      </c>
      <c r="V8" s="33" t="n">
        <v>0</v>
      </c>
      <c r="W8" s="5" t="s">
        <v>102</v>
      </c>
    </row>
    <row r="9" customFormat="false" ht="15" hidden="false" customHeight="false" outlineLevel="0" collapsed="false">
      <c r="B9" s="5" t="s">
        <v>153</v>
      </c>
      <c r="C9" s="6" t="n">
        <v>1</v>
      </c>
      <c r="D9" s="6" t="n">
        <f aca="false">(1-$G$27)*$G$28/C9 + $G$27*$C$27</f>
        <v>1.065</v>
      </c>
      <c r="E9" s="6" t="n">
        <v>0.02</v>
      </c>
      <c r="F9" s="32" t="n">
        <v>87</v>
      </c>
      <c r="G9" s="33" t="n">
        <v>0</v>
      </c>
      <c r="H9" s="40" t="n">
        <v>0.8</v>
      </c>
      <c r="I9" s="50" t="n">
        <v>50</v>
      </c>
      <c r="J9" s="35" t="n">
        <f aca="false">RANDBETWEEN(1,40)/100</f>
        <v>0.11</v>
      </c>
      <c r="K9" s="35" t="n">
        <f aca="false">RANDBETWEEN(1,100)/100</f>
        <v>0.91</v>
      </c>
      <c r="L9" s="5" t="n">
        <f aca="false">RANDBETWEEN(10,50)</f>
        <v>48</v>
      </c>
      <c r="M9" s="32" t="n">
        <v>30</v>
      </c>
      <c r="N9" s="32" t="n">
        <v>1</v>
      </c>
      <c r="O9" s="32" t="n">
        <v>0</v>
      </c>
      <c r="P9" s="32" t="n">
        <v>0</v>
      </c>
      <c r="Q9" s="35" t="n">
        <v>0</v>
      </c>
      <c r="R9" s="40" t="n">
        <v>999</v>
      </c>
      <c r="S9" s="33" t="n">
        <v>0</v>
      </c>
      <c r="T9" s="35" t="n">
        <v>0</v>
      </c>
      <c r="U9" s="35" t="n">
        <v>0</v>
      </c>
      <c r="V9" s="33" t="n">
        <v>0</v>
      </c>
      <c r="W9" s="5" t="s">
        <v>102</v>
      </c>
    </row>
    <row r="10" customFormat="false" ht="15" hidden="false" customHeight="false" outlineLevel="0" collapsed="false">
      <c r="B10" s="5" t="s">
        <v>153</v>
      </c>
      <c r="C10" s="6" t="n">
        <v>2</v>
      </c>
      <c r="D10" s="6" t="n">
        <f aca="false">(1-$G$27)*$G$28/C10 + $G$27*$C$27</f>
        <v>0.5925</v>
      </c>
      <c r="E10" s="6" t="n">
        <v>0.005</v>
      </c>
      <c r="F10" s="32" t="n">
        <f aca="false">87+50</f>
        <v>137</v>
      </c>
      <c r="G10" s="33" t="n">
        <v>0</v>
      </c>
      <c r="H10" s="32" t="n">
        <f aca="false">7.44/0.72</f>
        <v>10.3333333333333</v>
      </c>
      <c r="I10" s="241" t="n">
        <f aca="false">385/0.72</f>
        <v>534.722222222222</v>
      </c>
      <c r="J10" s="35" t="n">
        <f aca="false">RANDBETWEEN(1,40)/100</f>
        <v>0.18</v>
      </c>
      <c r="K10" s="35" t="n">
        <f aca="false">RANDBETWEEN(1,100)/100</f>
        <v>0.19</v>
      </c>
      <c r="L10" s="5" t="n">
        <f aca="false">RANDBETWEEN(10,50)</f>
        <v>10</v>
      </c>
      <c r="M10" s="32" t="n">
        <v>30</v>
      </c>
      <c r="N10" s="32" t="n">
        <v>1</v>
      </c>
      <c r="O10" s="32" t="n">
        <v>0</v>
      </c>
      <c r="P10" s="32" t="n">
        <v>0</v>
      </c>
      <c r="Q10" s="35" t="n">
        <v>0</v>
      </c>
      <c r="R10" s="40" t="n">
        <v>999</v>
      </c>
      <c r="S10" s="33" t="n">
        <v>0</v>
      </c>
      <c r="T10" s="35" t="n">
        <v>0</v>
      </c>
      <c r="U10" s="35" t="n">
        <v>0</v>
      </c>
      <c r="V10" s="33" t="n">
        <v>0</v>
      </c>
      <c r="W10" s="5" t="s">
        <v>102</v>
      </c>
    </row>
    <row r="11" customFormat="false" ht="15" hidden="false" customHeight="false" outlineLevel="0" collapsed="false">
      <c r="B11" s="5" t="s">
        <v>153</v>
      </c>
      <c r="C11" s="6" t="n">
        <v>3</v>
      </c>
      <c r="D11" s="6" t="n">
        <f aca="false">(1-$G$27)*$G$28/C11 + $G$27*$C$27</f>
        <v>0.435</v>
      </c>
      <c r="E11" s="6" t="n">
        <v>0.001</v>
      </c>
      <c r="F11" s="32" t="n">
        <f aca="false">164+50</f>
        <v>214</v>
      </c>
      <c r="G11" s="33" t="n">
        <v>0</v>
      </c>
      <c r="H11" s="40" t="n">
        <v>10</v>
      </c>
      <c r="I11" s="50" t="n">
        <v>500</v>
      </c>
      <c r="J11" s="35" t="n">
        <f aca="false">RANDBETWEEN(1,40)/100</f>
        <v>0.03</v>
      </c>
      <c r="K11" s="35" t="n">
        <f aca="false">RANDBETWEEN(1,100)/100</f>
        <v>0.8</v>
      </c>
      <c r="L11" s="5" t="n">
        <f aca="false">RANDBETWEEN(10,50)</f>
        <v>50</v>
      </c>
      <c r="M11" s="32" t="n">
        <v>30</v>
      </c>
      <c r="N11" s="32" t="n">
        <v>1</v>
      </c>
      <c r="O11" s="32" t="n">
        <v>0</v>
      </c>
      <c r="P11" s="32" t="n">
        <v>0</v>
      </c>
      <c r="Q11" s="35" t="n">
        <v>0</v>
      </c>
      <c r="R11" s="40" t="n">
        <v>999</v>
      </c>
      <c r="S11" s="33" t="n">
        <v>0</v>
      </c>
      <c r="T11" s="35" t="n">
        <v>0</v>
      </c>
      <c r="U11" s="35" t="n">
        <v>0</v>
      </c>
      <c r="V11" s="33" t="n">
        <v>0</v>
      </c>
      <c r="W11" s="5" t="s">
        <v>102</v>
      </c>
    </row>
    <row r="12" customFormat="false" ht="15" hidden="false" customHeight="false" outlineLevel="0" collapsed="false">
      <c r="B12" s="5" t="s">
        <v>441</v>
      </c>
      <c r="C12" s="6" t="n">
        <v>3</v>
      </c>
      <c r="D12" s="6" t="n">
        <f aca="false">(1-$G$27)*$G$29/C12 + $G$27*C26</f>
        <v>0.415</v>
      </c>
      <c r="E12" s="6" t="n">
        <v>0.001</v>
      </c>
      <c r="F12" s="40" t="n">
        <v>200</v>
      </c>
      <c r="G12" s="33" t="n">
        <v>0</v>
      </c>
      <c r="H12" s="40" t="n">
        <v>15</v>
      </c>
      <c r="I12" s="50" t="n">
        <v>400</v>
      </c>
      <c r="J12" s="35" t="n">
        <f aca="false">RANDBETWEEN(1,40)/100</f>
        <v>0.37</v>
      </c>
      <c r="K12" s="35" t="n">
        <f aca="false">RANDBETWEEN(1,100)/100</f>
        <v>0.36</v>
      </c>
      <c r="L12" s="5" t="n">
        <f aca="false">RANDBETWEEN(10,50)</f>
        <v>24</v>
      </c>
      <c r="M12" s="40" t="n">
        <v>30</v>
      </c>
      <c r="N12" s="40" t="n">
        <v>1</v>
      </c>
      <c r="O12" s="40" t="n">
        <v>0</v>
      </c>
      <c r="P12" s="40" t="n">
        <v>0</v>
      </c>
      <c r="Q12" s="35" t="n">
        <v>0</v>
      </c>
      <c r="R12" s="40" t="n">
        <v>999</v>
      </c>
      <c r="S12" s="33" t="n">
        <v>0</v>
      </c>
      <c r="T12" s="35" t="n">
        <v>0</v>
      </c>
      <c r="U12" s="35" t="n">
        <v>0</v>
      </c>
      <c r="V12" s="33" t="n">
        <v>0</v>
      </c>
      <c r="W12" s="5" t="s">
        <v>102</v>
      </c>
    </row>
    <row r="13" customFormat="false" ht="15" hidden="false" customHeight="false" outlineLevel="0" collapsed="false">
      <c r="B13" s="5" t="s">
        <v>442</v>
      </c>
      <c r="C13" s="6" t="n">
        <v>3</v>
      </c>
      <c r="D13" s="6" t="n">
        <f aca="false">(1-$G$27)*$G$29/C13 + $G$27*C28</f>
        <v>0.615</v>
      </c>
      <c r="E13" s="6" t="n">
        <v>0.001</v>
      </c>
      <c r="F13" s="40" t="n">
        <v>200</v>
      </c>
      <c r="G13" s="33" t="n">
        <v>0</v>
      </c>
      <c r="H13" s="40" t="n">
        <v>15</v>
      </c>
      <c r="I13" s="50" t="n">
        <v>400</v>
      </c>
      <c r="J13" s="35" t="n">
        <f aca="false">RANDBETWEEN(1,40)/100</f>
        <v>0.05</v>
      </c>
      <c r="K13" s="35" t="n">
        <f aca="false">RANDBETWEEN(1,100)/100</f>
        <v>0.74</v>
      </c>
      <c r="L13" s="5" t="n">
        <f aca="false">RANDBETWEEN(10,50)</f>
        <v>31</v>
      </c>
      <c r="M13" s="40" t="n">
        <v>30</v>
      </c>
      <c r="N13" s="40" t="n">
        <v>1</v>
      </c>
      <c r="O13" s="40" t="n">
        <v>0</v>
      </c>
      <c r="P13" s="40" t="n">
        <v>0</v>
      </c>
      <c r="Q13" s="35" t="n">
        <v>0</v>
      </c>
      <c r="R13" s="40" t="n">
        <v>999</v>
      </c>
      <c r="S13" s="33" t="n">
        <v>0</v>
      </c>
      <c r="T13" s="35" t="n">
        <v>0</v>
      </c>
      <c r="U13" s="35" t="n">
        <v>0</v>
      </c>
      <c r="V13" s="33" t="n">
        <v>0</v>
      </c>
      <c r="W13" s="5" t="s">
        <v>102</v>
      </c>
    </row>
    <row r="14" customFormat="false" ht="15" hidden="false" customHeight="false" outlineLevel="0" collapsed="false">
      <c r="B14" s="5" t="s">
        <v>443</v>
      </c>
      <c r="C14" s="6" t="n">
        <v>3</v>
      </c>
      <c r="D14" s="6" t="n">
        <f aca="false">(1-$G$27)*$G$27/C14 + $G$27*C28</f>
        <v>0.33</v>
      </c>
      <c r="E14" s="6" t="n">
        <v>0.001</v>
      </c>
      <c r="F14" s="40" t="n">
        <v>200</v>
      </c>
      <c r="G14" s="33" t="n">
        <v>0</v>
      </c>
      <c r="H14" s="40" t="n">
        <v>15</v>
      </c>
      <c r="I14" s="50" t="n">
        <v>400</v>
      </c>
      <c r="J14" s="35" t="n">
        <f aca="false">RANDBETWEEN(1,40)/100</f>
        <v>0.06</v>
      </c>
      <c r="K14" s="35" t="n">
        <f aca="false">RANDBETWEEN(1,100)/100</f>
        <v>0.31</v>
      </c>
      <c r="L14" s="5" t="n">
        <f aca="false">RANDBETWEEN(10,50)</f>
        <v>32</v>
      </c>
      <c r="M14" s="40" t="n">
        <v>30</v>
      </c>
      <c r="N14" s="40" t="n">
        <v>1</v>
      </c>
      <c r="O14" s="40" t="n">
        <v>0</v>
      </c>
      <c r="P14" s="40" t="n">
        <v>0</v>
      </c>
      <c r="Q14" s="35" t="n">
        <v>0</v>
      </c>
      <c r="R14" s="40" t="n">
        <v>999</v>
      </c>
      <c r="S14" s="33" t="n">
        <v>0</v>
      </c>
      <c r="T14" s="35" t="n">
        <v>0</v>
      </c>
      <c r="U14" s="35" t="n">
        <v>0</v>
      </c>
      <c r="V14" s="33" t="n">
        <v>0</v>
      </c>
      <c r="W14" s="5" t="s">
        <v>102</v>
      </c>
    </row>
    <row r="15" customFormat="false" ht="15" hidden="false" customHeight="false" outlineLevel="0" collapsed="false">
      <c r="B15" s="5" t="s">
        <v>117</v>
      </c>
      <c r="C15" s="6" t="n">
        <v>1</v>
      </c>
      <c r="D15" s="6" t="n">
        <v>1</v>
      </c>
      <c r="E15" s="6" t="n">
        <v>0</v>
      </c>
      <c r="F15" s="5" t="n">
        <v>0</v>
      </c>
      <c r="G15" s="35" t="n">
        <v>0</v>
      </c>
      <c r="H15" s="5" t="n">
        <v>999</v>
      </c>
      <c r="I15" s="6" t="n">
        <v>0</v>
      </c>
      <c r="J15" s="35" t="n">
        <f aca="false">RANDBETWEEN(1,40)/100</f>
        <v>0.19</v>
      </c>
      <c r="K15" s="35" t="n">
        <f aca="false">RANDBETWEEN(1,100)/100</f>
        <v>0.82</v>
      </c>
      <c r="L15" s="5" t="n">
        <v>1</v>
      </c>
      <c r="M15" s="5" t="n">
        <v>999</v>
      </c>
      <c r="N15" s="5" t="n">
        <v>1</v>
      </c>
      <c r="O15" s="5" t="n">
        <v>0</v>
      </c>
      <c r="P15" s="5" t="n">
        <v>0</v>
      </c>
      <c r="Q15" s="35" t="n">
        <v>0</v>
      </c>
      <c r="R15" s="5" t="n">
        <v>0</v>
      </c>
      <c r="S15" s="35" t="n">
        <v>0</v>
      </c>
      <c r="T15" s="35" t="n">
        <v>0</v>
      </c>
      <c r="U15" s="35" t="n">
        <v>0</v>
      </c>
      <c r="V15" s="35" t="n">
        <v>0</v>
      </c>
      <c r="W15" s="5" t="s">
        <v>118</v>
      </c>
    </row>
    <row r="16" customFormat="false" ht="15" hidden="false" customHeight="false" outlineLevel="0" collapsed="false">
      <c r="B16" s="5"/>
      <c r="C16" s="6"/>
      <c r="D16" s="6"/>
      <c r="E16" s="6"/>
      <c r="F16" s="5"/>
      <c r="G16" s="35"/>
      <c r="H16" s="5"/>
      <c r="I16" s="6"/>
      <c r="J16" s="6"/>
      <c r="K16" s="6"/>
      <c r="L16" s="5"/>
      <c r="M16" s="5"/>
      <c r="N16" s="5"/>
      <c r="O16" s="5"/>
      <c r="P16" s="5"/>
      <c r="Q16" s="35"/>
      <c r="R16" s="5"/>
      <c r="S16" s="35"/>
      <c r="T16" s="35"/>
      <c r="U16" s="35"/>
      <c r="V16" s="35"/>
      <c r="W16" s="5"/>
    </row>
    <row r="17" customFormat="false" ht="15" hidden="false" customHeight="false" outlineLevel="0" collapsed="false">
      <c r="B17" s="5"/>
      <c r="C17" s="6"/>
      <c r="D17" s="6"/>
      <c r="E17" s="6"/>
      <c r="F17" s="5"/>
      <c r="G17" s="35"/>
      <c r="H17" s="5"/>
      <c r="I17" s="6"/>
      <c r="J17" s="6"/>
      <c r="K17" s="6"/>
      <c r="L17" s="5"/>
      <c r="M17" s="5"/>
      <c r="N17" s="5"/>
      <c r="O17" s="5"/>
      <c r="P17" s="5"/>
      <c r="Q17" s="35"/>
      <c r="R17" s="5"/>
      <c r="S17" s="35"/>
      <c r="T17" s="35"/>
      <c r="U17" s="35"/>
      <c r="V17" s="35"/>
      <c r="W17" s="5"/>
    </row>
    <row r="18" customFormat="false" ht="15" hidden="false" customHeight="false" outlineLevel="0" collapsed="false">
      <c r="B18" s="5"/>
      <c r="C18" s="6"/>
      <c r="D18" s="6"/>
      <c r="E18" s="6"/>
      <c r="F18" s="5"/>
      <c r="G18" s="35"/>
      <c r="H18" s="5"/>
      <c r="I18" s="6"/>
      <c r="J18" s="6"/>
      <c r="K18" s="6"/>
      <c r="L18" s="5"/>
      <c r="M18" s="5"/>
      <c r="N18" s="5"/>
      <c r="O18" s="5"/>
      <c r="P18" s="5"/>
      <c r="Q18" s="35"/>
      <c r="R18" s="5"/>
      <c r="S18" s="35"/>
      <c r="T18" s="35"/>
      <c r="U18" s="35"/>
      <c r="V18" s="35"/>
      <c r="W18" s="5"/>
    </row>
    <row r="19" customFormat="false" ht="15" hidden="false" customHeight="false" outlineLevel="0" collapsed="false">
      <c r="B19" s="5"/>
      <c r="C19" s="6"/>
      <c r="D19" s="6"/>
      <c r="E19" s="6"/>
      <c r="F19" s="5"/>
      <c r="G19" s="35"/>
      <c r="H19" s="5"/>
      <c r="I19" s="6"/>
      <c r="J19" s="6"/>
      <c r="K19" s="6"/>
      <c r="L19" s="5"/>
      <c r="M19" s="5"/>
      <c r="N19" s="5"/>
      <c r="O19" s="5"/>
      <c r="P19" s="5"/>
      <c r="Q19" s="35"/>
      <c r="R19" s="5"/>
      <c r="S19" s="35"/>
      <c r="T19" s="35"/>
      <c r="U19" s="35"/>
      <c r="V19" s="35"/>
      <c r="W19" s="5"/>
    </row>
    <row r="20" customFormat="false" ht="15" hidden="false" customHeight="false" outlineLevel="0" collapsed="false">
      <c r="B20" s="5"/>
      <c r="C20" s="6"/>
      <c r="D20" s="6"/>
      <c r="E20" s="6"/>
      <c r="F20" s="5"/>
      <c r="G20" s="35"/>
      <c r="H20" s="5"/>
      <c r="I20" s="6"/>
      <c r="J20" s="6"/>
      <c r="K20" s="6"/>
      <c r="L20" s="5"/>
      <c r="M20" s="5"/>
      <c r="N20" s="5"/>
      <c r="O20" s="5"/>
      <c r="P20" s="5"/>
      <c r="Q20" s="35"/>
      <c r="R20" s="5"/>
      <c r="S20" s="35"/>
      <c r="T20" s="35"/>
      <c r="U20" s="35"/>
      <c r="V20" s="35"/>
      <c r="W20" s="5"/>
    </row>
    <row r="24" customFormat="false" ht="15" hidden="false" customHeight="false" outlineLevel="0" collapsed="false">
      <c r="H24" s="54"/>
    </row>
    <row r="25" customFormat="false" ht="31.5" hidden="false" customHeight="false" outlineLevel="0" collapsed="false">
      <c r="B25" s="56" t="s">
        <v>148</v>
      </c>
      <c r="C25" s="57" t="s">
        <v>140</v>
      </c>
      <c r="D25" s="17"/>
      <c r="E25" s="27"/>
      <c r="F25" s="44" t="s">
        <v>149</v>
      </c>
    </row>
    <row r="26" customFormat="false" ht="15" hidden="false" customHeight="false" outlineLevel="0" collapsed="false">
      <c r="B26" s="58" t="s">
        <v>150</v>
      </c>
      <c r="C26" s="59" t="n">
        <v>1</v>
      </c>
      <c r="D26" s="54"/>
      <c r="E26" s="54"/>
      <c r="F26" s="60" t="s">
        <v>151</v>
      </c>
      <c r="G26" s="61" t="s">
        <v>152</v>
      </c>
    </row>
    <row r="27" customFormat="false" ht="15" hidden="false" customHeight="false" outlineLevel="0" collapsed="false">
      <c r="B27" s="58" t="s">
        <v>153</v>
      </c>
      <c r="C27" s="59" t="n">
        <v>1.2</v>
      </c>
      <c r="D27" s="54"/>
      <c r="E27" s="54"/>
      <c r="F27" s="62" t="s">
        <v>154</v>
      </c>
      <c r="G27" s="63" t="n">
        <v>0.1</v>
      </c>
    </row>
    <row r="28" customFormat="false" ht="15" hidden="false" customHeight="false" outlineLevel="0" collapsed="false">
      <c r="B28" s="64" t="s">
        <v>155</v>
      </c>
      <c r="C28" s="65" t="n">
        <v>3</v>
      </c>
      <c r="D28" s="54"/>
      <c r="E28" s="54"/>
      <c r="F28" s="66" t="s">
        <v>156</v>
      </c>
      <c r="G28" s="67" t="n">
        <v>1.05</v>
      </c>
    </row>
    <row r="29" customFormat="false" ht="15" hidden="false" customHeight="false" outlineLevel="0" collapsed="false">
      <c r="F29" s="66" t="s">
        <v>157</v>
      </c>
      <c r="G29" s="68" t="n">
        <v>1.05</v>
      </c>
    </row>
    <row r="32" customFormat="false" ht="127.5" hidden="false" customHeight="false" outlineLevel="0" collapsed="false">
      <c r="C32" s="69" t="s">
        <v>158</v>
      </c>
      <c r="D32" s="69"/>
    </row>
  </sheetData>
  <mergeCells count="1">
    <mergeCell ref="F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3:I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1" activeCellId="0" sqref="D21"/>
    </sheetView>
  </sheetViews>
  <sheetFormatPr defaultColWidth="8.5078125" defaultRowHeight="15" zeroHeight="false" outlineLevelRow="0" outlineLevelCol="0"/>
  <cols>
    <col collapsed="false" customWidth="true" hidden="false" outlineLevel="0" max="2" min="2" style="0" width="15.33"/>
    <col collapsed="false" customWidth="true" hidden="false" outlineLevel="0" max="3" min="3" style="0" width="19.67"/>
    <col collapsed="false" customWidth="true" hidden="false" outlineLevel="0" max="4" min="4" style="0" width="17.67"/>
    <col collapsed="false" customWidth="true" hidden="false" outlineLevel="0" max="5" min="5" style="0" width="24.33"/>
    <col collapsed="false" customWidth="true" hidden="false" outlineLevel="0" max="6" min="6" style="0" width="23.67"/>
    <col collapsed="false" customWidth="true" hidden="false" outlineLevel="0" max="7" min="7" style="0" width="10.66"/>
    <col collapsed="false" customWidth="true" hidden="false" outlineLevel="0" max="8" min="8" style="0" width="13.66"/>
  </cols>
  <sheetData>
    <row r="13" customFormat="false" ht="15" hidden="false" customHeight="false" outlineLevel="0" collapsed="false">
      <c r="B13" s="242"/>
      <c r="C13" s="243"/>
      <c r="D13" s="243"/>
      <c r="E13" s="244"/>
    </row>
    <row r="14" customFormat="false" ht="15" hidden="false" customHeight="false" outlineLevel="0" collapsed="false">
      <c r="B14" s="245" t="s">
        <v>444</v>
      </c>
      <c r="E14" s="246"/>
    </row>
    <row r="15" customFormat="false" ht="15" hidden="false" customHeight="false" outlineLevel="0" collapsed="false">
      <c r="B15" s="247" t="s">
        <v>445</v>
      </c>
      <c r="C15" s="248" t="n">
        <v>20</v>
      </c>
      <c r="D15" s="0" t="s">
        <v>446</v>
      </c>
      <c r="E15" s="246"/>
    </row>
    <row r="16" customFormat="false" ht="15" hidden="false" customHeight="false" outlineLevel="0" collapsed="false">
      <c r="B16" s="249" t="s">
        <v>447</v>
      </c>
      <c r="C16" s="250" t="n">
        <v>1000</v>
      </c>
      <c r="D16" s="0" t="s">
        <v>446</v>
      </c>
      <c r="E16" s="246"/>
    </row>
    <row r="17" customFormat="false" ht="15" hidden="false" customHeight="false" outlineLevel="0" collapsed="false">
      <c r="B17" s="251" t="s">
        <v>448</v>
      </c>
      <c r="C17" s="252" t="n">
        <v>0.051</v>
      </c>
      <c r="D17" s="0" t="s">
        <v>449</v>
      </c>
      <c r="E17" s="246"/>
    </row>
    <row r="18" customFormat="false" ht="15" hidden="false" customHeight="false" outlineLevel="0" collapsed="false">
      <c r="B18" s="253"/>
      <c r="E18" s="246"/>
    </row>
    <row r="19" customFormat="false" ht="15" hidden="false" customHeight="false" outlineLevel="0" collapsed="false">
      <c r="B19" s="253"/>
      <c r="C19" s="11" t="s">
        <v>450</v>
      </c>
      <c r="D19" s="11"/>
      <c r="E19" s="12" t="s">
        <v>451</v>
      </c>
    </row>
    <row r="20" customFormat="false" ht="15" hidden="false" customHeight="false" outlineLevel="0" collapsed="false">
      <c r="B20" s="254" t="s">
        <v>452</v>
      </c>
      <c r="C20" s="5" t="s">
        <v>453</v>
      </c>
      <c r="D20" s="255" t="s">
        <v>454</v>
      </c>
      <c r="E20" s="256" t="s">
        <v>455</v>
      </c>
    </row>
    <row r="21" customFormat="false" ht="15" hidden="false" customHeight="false" outlineLevel="0" collapsed="false">
      <c r="B21" s="257" t="n">
        <v>10</v>
      </c>
      <c r="C21" s="258" t="n">
        <f aca="false">$C$15/B21</f>
        <v>2</v>
      </c>
      <c r="D21" s="259" t="n">
        <v>1000</v>
      </c>
      <c r="E21" s="260" t="n">
        <f aca="false">$C$16*(C21)^$C$17</f>
        <v>1035.98276356002</v>
      </c>
    </row>
    <row r="22" customFormat="false" ht="15" hidden="false" customHeight="false" outlineLevel="0" collapsed="false">
      <c r="B22" s="261" t="n">
        <v>1000</v>
      </c>
      <c r="C22" s="258" t="n">
        <f aca="false">$C$15/B22</f>
        <v>0.02</v>
      </c>
      <c r="D22" s="262" t="n">
        <v>800</v>
      </c>
      <c r="E22" s="260" t="n">
        <f aca="false">$C$16*(C22)^$C$17</f>
        <v>819.129430123103</v>
      </c>
    </row>
    <row r="23" customFormat="false" ht="15" hidden="false" customHeight="false" outlineLevel="0" collapsed="false">
      <c r="B23" s="263" t="n">
        <v>10000</v>
      </c>
      <c r="C23" s="264" t="n">
        <f aca="false">$C$15/B23</f>
        <v>0.002</v>
      </c>
      <c r="D23" s="265" t="n">
        <v>700</v>
      </c>
      <c r="E23" s="260" t="n">
        <f aca="false">$C$16*(C23)^$C$17</f>
        <v>728.370804935807</v>
      </c>
    </row>
    <row r="24" customFormat="false" ht="15" hidden="false" customHeight="false" outlineLevel="0" collapsed="false">
      <c r="B24" s="266"/>
      <c r="C24" s="267"/>
      <c r="D24" s="267"/>
      <c r="E24" s="268"/>
    </row>
    <row r="38" customFormat="false" ht="15" hidden="false" customHeight="false" outlineLevel="0" collapsed="false">
      <c r="C38" s="255" t="s">
        <v>414</v>
      </c>
      <c r="D38" s="255" t="s">
        <v>415</v>
      </c>
      <c r="E38" s="269" t="s">
        <v>456</v>
      </c>
      <c r="F38" s="269" t="s">
        <v>457</v>
      </c>
      <c r="G38" s="255" t="s">
        <v>458</v>
      </c>
      <c r="H38" s="270" t="s">
        <v>459</v>
      </c>
    </row>
    <row r="39" customFormat="false" ht="15" hidden="false" customHeight="false" outlineLevel="0" collapsed="false">
      <c r="B39" s="271" t="s">
        <v>460</v>
      </c>
      <c r="C39" s="5"/>
      <c r="D39" s="5"/>
      <c r="E39" s="5" t="n">
        <f aca="false">C39/3.6</f>
        <v>0</v>
      </c>
      <c r="F39" s="5" t="n">
        <f aca="false">E39*(D39/1000)</f>
        <v>0</v>
      </c>
      <c r="G39" s="5" t="n">
        <v>1</v>
      </c>
      <c r="H39" s="5" t="e">
        <f aca="false">G39/F39</f>
        <v>#DIV/0!</v>
      </c>
    </row>
    <row r="40" customFormat="false" ht="15" hidden="false" customHeight="false" outlineLevel="0" collapsed="false">
      <c r="B40" s="271" t="s">
        <v>461</v>
      </c>
      <c r="C40" s="5" t="n">
        <f aca="false">Fuels!F4</f>
        <v>47.1</v>
      </c>
      <c r="D40" s="5" t="n">
        <f aca="false">Fuels!G4</f>
        <v>0.78</v>
      </c>
      <c r="E40" s="5" t="n">
        <f aca="false">C40/3.6</f>
        <v>13.0833333333333</v>
      </c>
      <c r="F40" s="5" t="n">
        <f aca="false">E40*(D40/1000)</f>
        <v>0.010205</v>
      </c>
      <c r="G40" s="5" t="n">
        <v>0.005</v>
      </c>
      <c r="H40" s="5" t="n">
        <f aca="false">G40/F40</f>
        <v>0.489955903968643</v>
      </c>
    </row>
    <row r="41" customFormat="false" ht="15" hidden="false" customHeight="false" outlineLevel="0" collapsed="false">
      <c r="B41" s="271" t="s">
        <v>462</v>
      </c>
      <c r="C41" s="5" t="n">
        <f aca="false">Fuels!F5</f>
        <v>42.6</v>
      </c>
      <c r="D41" s="5" t="n">
        <f aca="false">Fuels!G5</f>
        <v>846</v>
      </c>
      <c r="E41" s="5" t="n">
        <f aca="false">C41/3.6</f>
        <v>11.8333333333333</v>
      </c>
      <c r="F41" s="5" t="n">
        <f aca="false">E41*(D41/1000)</f>
        <v>10.011</v>
      </c>
      <c r="G41" s="5" t="n">
        <v>0.95</v>
      </c>
      <c r="H41" s="5" t="n">
        <f aca="false">G41/F41</f>
        <v>0.0948956148236939</v>
      </c>
    </row>
    <row r="42" customFormat="false" ht="15" hidden="false" customHeight="false" outlineLevel="0" collapsed="false">
      <c r="B42" s="271" t="s">
        <v>463</v>
      </c>
      <c r="C42" s="5" t="n">
        <f aca="false">Fuels!F6</f>
        <v>45.5</v>
      </c>
      <c r="D42" s="5" t="n">
        <f aca="false">Fuels!G6</f>
        <v>537</v>
      </c>
      <c r="E42" s="5" t="n">
        <f aca="false">C42/3.6</f>
        <v>12.6388888888889</v>
      </c>
      <c r="F42" s="5" t="n">
        <f aca="false">E42*(D42/1000)</f>
        <v>6.78708333333333</v>
      </c>
      <c r="G42" s="5" t="n">
        <v>0.85</v>
      </c>
      <c r="H42" s="5" t="n">
        <f aca="false">G42/F42</f>
        <v>0.125237890601019</v>
      </c>
      <c r="I42" s="0" t="s">
        <v>464</v>
      </c>
    </row>
    <row r="43" customFormat="false" ht="15" hidden="false" customHeight="false" outlineLevel="0" collapsed="false">
      <c r="B43" s="271" t="s">
        <v>465</v>
      </c>
      <c r="C43" s="5" t="n">
        <f aca="false">Fuels!F7</f>
        <v>37.8</v>
      </c>
      <c r="D43" s="5" t="n">
        <f aca="false">Fuels!G7</f>
        <v>920</v>
      </c>
      <c r="E43" s="5" t="n">
        <f aca="false">C43/3.6</f>
        <v>10.5</v>
      </c>
      <c r="F43" s="5" t="n">
        <f aca="false">E43*(D43/1000)</f>
        <v>9.66</v>
      </c>
      <c r="G43" s="5"/>
      <c r="H43" s="5" t="n">
        <f aca="false">G43/F43</f>
        <v>0</v>
      </c>
    </row>
    <row r="44" customFormat="false" ht="15" hidden="false" customHeight="false" outlineLevel="0" collapsed="false">
      <c r="B44" s="271" t="s">
        <v>466</v>
      </c>
      <c r="C44" s="5" t="n">
        <f aca="false">Fuels!F8</f>
        <v>35.5</v>
      </c>
      <c r="D44" s="5" t="n">
        <f aca="false">Fuels!G8</f>
        <v>800</v>
      </c>
      <c r="E44" s="5" t="n">
        <f aca="false">C44/3.6</f>
        <v>9.86111111111111</v>
      </c>
      <c r="F44" s="5" t="n">
        <f aca="false">E44*(D44/1000)</f>
        <v>7.88888888888889</v>
      </c>
      <c r="G44" s="5"/>
      <c r="H44" s="5" t="n">
        <f aca="false">G44/F44</f>
        <v>0</v>
      </c>
    </row>
    <row r="45" customFormat="false" ht="15" hidden="false" customHeight="false" outlineLevel="0" collapsed="false">
      <c r="B45" s="271" t="s">
        <v>467</v>
      </c>
      <c r="C45" s="5" t="str">
        <f aca="false">Fuels!F9</f>
        <v>nan</v>
      </c>
      <c r="D45" s="5" t="str">
        <f aca="false">Fuels!G9</f>
        <v>nan</v>
      </c>
      <c r="E45" s="5" t="e">
        <f aca="false">C45/3.6</f>
        <v>#VALUE!</v>
      </c>
      <c r="F45" s="5" t="e">
        <f aca="false">E45*(D45/1000)</f>
        <v>#VALUE!</v>
      </c>
      <c r="G45" s="5"/>
      <c r="H45" s="5" t="e">
        <f aca="false">G45/F45</f>
        <v>#VALUE!</v>
      </c>
    </row>
    <row r="46" customFormat="false" ht="15" hidden="false" customHeight="false" outlineLevel="0" collapsed="false">
      <c r="B46" s="271" t="s">
        <v>468</v>
      </c>
      <c r="C46" s="5" t="n">
        <f aca="false">Fuels!F10</f>
        <v>0</v>
      </c>
      <c r="D46" s="5" t="n">
        <f aca="false">Fuels!G10</f>
        <v>0</v>
      </c>
      <c r="E46" s="5" t="n">
        <f aca="false">C46/3.6</f>
        <v>0</v>
      </c>
      <c r="F46" s="5" t="n">
        <f aca="false">E46*(D46/1000)</f>
        <v>0</v>
      </c>
      <c r="G46" s="5"/>
      <c r="H46" s="5" t="e">
        <f aca="false">G46/F46</f>
        <v>#DIV/0!</v>
      </c>
    </row>
    <row r="47" customFormat="false" ht="15" hidden="false" customHeight="false" outlineLevel="0" collapsed="false">
      <c r="B47" s="271" t="s">
        <v>469</v>
      </c>
      <c r="C47" s="5" t="n">
        <f aca="false">Fuels!F11</f>
        <v>0</v>
      </c>
      <c r="D47" s="5" t="n">
        <f aca="false">Fuels!G11</f>
        <v>0</v>
      </c>
      <c r="E47" s="5" t="n">
        <f aca="false">C47/3.6</f>
        <v>0</v>
      </c>
      <c r="F47" s="5" t="n">
        <f aca="false">E47*(D47/1000)</f>
        <v>0</v>
      </c>
      <c r="G47" s="5"/>
      <c r="H47" s="5" t="e">
        <f aca="false">G47/F47</f>
        <v>#DIV/0!</v>
      </c>
    </row>
    <row r="48" customFormat="false" ht="15" hidden="false" customHeight="false" outlineLevel="0" collapsed="false">
      <c r="B48" s="271" t="s">
        <v>258</v>
      </c>
      <c r="C48" s="5" t="n">
        <f aca="false">Fuels!F12</f>
        <v>0</v>
      </c>
      <c r="D48" s="5" t="n">
        <f aca="false">Fuels!G12</f>
        <v>0</v>
      </c>
      <c r="E48" s="5" t="n">
        <f aca="false">C48/3.6</f>
        <v>0</v>
      </c>
      <c r="F48" s="5" t="n">
        <f aca="false">E48*(D48/1000)</f>
        <v>0</v>
      </c>
      <c r="G48" s="5"/>
      <c r="H48" s="5" t="e">
        <f aca="false">G48/F48</f>
        <v>#DIV/0!</v>
      </c>
    </row>
    <row r="49" customFormat="false" ht="15" hidden="false" customHeight="false" outlineLevel="0" collapsed="false">
      <c r="B49" s="271" t="s">
        <v>470</v>
      </c>
      <c r="C49" s="5" t="n">
        <f aca="false">Fuels!F13</f>
        <v>0</v>
      </c>
      <c r="D49" s="5" t="n">
        <f aca="false">Fuels!G13</f>
        <v>0</v>
      </c>
      <c r="E49" s="5" t="n">
        <f aca="false">C49/3.6</f>
        <v>0</v>
      </c>
      <c r="F49" s="5" t="n">
        <f aca="false">E49*(D49/1000)</f>
        <v>0</v>
      </c>
      <c r="G49" s="5"/>
      <c r="H49" s="5" t="e">
        <f aca="false">G49/F49</f>
        <v>#DIV/0!</v>
      </c>
    </row>
    <row r="50" customFormat="false" ht="15" hidden="false" customHeight="false" outlineLevel="0" collapsed="false">
      <c r="B50" s="271" t="s">
        <v>471</v>
      </c>
      <c r="C50" s="5" t="n">
        <f aca="false">Fuels!F14</f>
        <v>0</v>
      </c>
      <c r="D50" s="5" t="n">
        <f aca="false">Fuels!G14</f>
        <v>0</v>
      </c>
      <c r="E50" s="5" t="n">
        <f aca="false">C50/3.6</f>
        <v>0</v>
      </c>
      <c r="F50" s="5" t="n">
        <f aca="false">E50*(D50/1000)</f>
        <v>0</v>
      </c>
      <c r="G50" s="5"/>
      <c r="H50" s="5" t="e">
        <f aca="false">G50/F50</f>
        <v>#DIV/0!</v>
      </c>
    </row>
    <row r="53" customFormat="false" ht="15" hidden="false" customHeight="false" outlineLevel="0" collapsed="false">
      <c r="B53" s="5"/>
      <c r="C53" s="272" t="s">
        <v>472</v>
      </c>
    </row>
    <row r="54" customFormat="false" ht="15" hidden="false" customHeight="false" outlineLevel="0" collapsed="false">
      <c r="B54" s="5" t="s">
        <v>276</v>
      </c>
      <c r="C54" s="273" t="s">
        <v>461</v>
      </c>
    </row>
    <row r="55" customFormat="false" ht="15" hidden="false" customHeight="false" outlineLevel="0" collapsed="false">
      <c r="B55" s="5" t="s">
        <v>228</v>
      </c>
      <c r="C55" s="5" t="n">
        <v>1</v>
      </c>
    </row>
    <row r="56" customFormat="false" ht="15" hidden="false" customHeight="false" outlineLevel="0" collapsed="false">
      <c r="B56" s="5" t="s">
        <v>246</v>
      </c>
      <c r="C56" s="5" t="n">
        <f aca="false">C55*VLOOKUP(C54,B39:H50,4,)</f>
        <v>13.0833333333333</v>
      </c>
    </row>
  </sheetData>
  <mergeCells count="1">
    <mergeCell ref="C19:D19"/>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KS99"/>
  <sheetViews>
    <sheetView showFormulas="false" showGridLines="true" showRowColHeaders="true" showZeros="true" rightToLeft="false" tabSelected="false" showOutlineSymbols="true" defaultGridColor="true" view="normal" topLeftCell="A19" colorId="64" zoomScale="100" zoomScaleNormal="100" zoomScalePageLayoutView="100" workbookViewId="0">
      <selection pane="topLeft" activeCell="K31" activeCellId="0" sqref="K31"/>
    </sheetView>
  </sheetViews>
  <sheetFormatPr defaultColWidth="8.5078125" defaultRowHeight="15" zeroHeight="false" outlineLevelRow="0" outlineLevelCol="0"/>
  <cols>
    <col collapsed="false" customWidth="true" hidden="false" outlineLevel="0" max="1" min="1" style="0" width="18.67"/>
    <col collapsed="false" customWidth="true" hidden="false" outlineLevel="0" max="5" min="5" style="0" width="17.5"/>
    <col collapsed="false" customWidth="true" hidden="false" outlineLevel="0" max="6" min="6" style="0" width="12.66"/>
    <col collapsed="false" customWidth="true" hidden="false" outlineLevel="0" max="30" min="30" style="0" width="12.66"/>
  </cols>
  <sheetData>
    <row r="2" customFormat="false" ht="15" hidden="false" customHeight="false" outlineLevel="0" collapsed="false">
      <c r="E2" s="0" t="s">
        <v>473</v>
      </c>
      <c r="F2" s="6" t="s">
        <v>474</v>
      </c>
      <c r="G2" s="6"/>
      <c r="H2" s="6" t="s">
        <v>475</v>
      </c>
      <c r="I2" s="6"/>
      <c r="J2" s="6" t="s">
        <v>476</v>
      </c>
      <c r="K2" s="6"/>
      <c r="L2" s="6" t="s">
        <v>477</v>
      </c>
      <c r="M2" s="6"/>
      <c r="N2" s="6" t="s">
        <v>478</v>
      </c>
      <c r="O2" s="6"/>
      <c r="P2" s="6" t="s">
        <v>479</v>
      </c>
      <c r="Q2" s="6"/>
      <c r="R2" s="6" t="s">
        <v>480</v>
      </c>
      <c r="S2" s="6"/>
      <c r="T2" s="6" t="s">
        <v>481</v>
      </c>
      <c r="U2" s="6"/>
      <c r="V2" s="6" t="s">
        <v>482</v>
      </c>
      <c r="W2" s="6"/>
      <c r="X2" s="6" t="s">
        <v>483</v>
      </c>
      <c r="Y2" s="6"/>
      <c r="Z2" s="6" t="s">
        <v>484</v>
      </c>
      <c r="AA2" s="6"/>
      <c r="AB2" s="6" t="s">
        <v>485</v>
      </c>
      <c r="AC2" s="6"/>
    </row>
    <row r="3" customFormat="false" ht="15" hidden="false" customHeight="false" outlineLevel="0" collapsed="false">
      <c r="E3" s="0" t="s">
        <v>486</v>
      </c>
      <c r="F3" s="6" t="n">
        <f aca="false">1/12</f>
        <v>0.0833333333333333</v>
      </c>
      <c r="G3" s="6"/>
      <c r="H3" s="6" t="n">
        <f aca="false">1/12</f>
        <v>0.0833333333333333</v>
      </c>
      <c r="I3" s="6"/>
      <c r="J3" s="6" t="n">
        <f aca="false">1/12</f>
        <v>0.0833333333333333</v>
      </c>
      <c r="K3" s="6"/>
      <c r="L3" s="6" t="n">
        <f aca="false">1/12</f>
        <v>0.0833333333333333</v>
      </c>
      <c r="M3" s="6"/>
      <c r="N3" s="6" t="n">
        <f aca="false">1/12</f>
        <v>0.0833333333333333</v>
      </c>
      <c r="O3" s="6"/>
      <c r="P3" s="6" t="n">
        <f aca="false">1/12</f>
        <v>0.0833333333333333</v>
      </c>
      <c r="Q3" s="6"/>
      <c r="R3" s="6" t="n">
        <f aca="false">1/12</f>
        <v>0.0833333333333333</v>
      </c>
      <c r="S3" s="6"/>
      <c r="T3" s="6" t="n">
        <f aca="false">1/12</f>
        <v>0.0833333333333333</v>
      </c>
      <c r="U3" s="6"/>
      <c r="V3" s="6" t="n">
        <f aca="false">1/12</f>
        <v>0.0833333333333333</v>
      </c>
      <c r="W3" s="6"/>
      <c r="X3" s="6" t="n">
        <f aca="false">1/12</f>
        <v>0.0833333333333333</v>
      </c>
      <c r="Y3" s="6"/>
      <c r="Z3" s="6" t="n">
        <f aca="false">1/12</f>
        <v>0.0833333333333333</v>
      </c>
      <c r="AA3" s="6"/>
      <c r="AB3" s="6" t="n">
        <f aca="false">1/12</f>
        <v>0.0833333333333333</v>
      </c>
      <c r="AC3" s="6"/>
    </row>
    <row r="4" customFormat="false" ht="15" hidden="false" customHeight="false" outlineLevel="0" collapsed="false">
      <c r="E4" s="0" t="s">
        <v>487</v>
      </c>
      <c r="F4" s="6" t="n">
        <f aca="false">F3*$B$15</f>
        <v>0.583333333333333</v>
      </c>
      <c r="G4" s="6"/>
      <c r="H4" s="6" t="n">
        <f aca="false">H3*$B$15</f>
        <v>0.583333333333333</v>
      </c>
      <c r="I4" s="6"/>
      <c r="J4" s="6" t="n">
        <f aca="false">J3*$B$15</f>
        <v>0.583333333333333</v>
      </c>
      <c r="K4" s="6"/>
      <c r="L4" s="6" t="n">
        <f aca="false">L3*$B$15</f>
        <v>0.583333333333333</v>
      </c>
      <c r="M4" s="6"/>
      <c r="N4" s="6" t="n">
        <f aca="false">N3*$B$15</f>
        <v>0.583333333333333</v>
      </c>
      <c r="O4" s="6"/>
      <c r="P4" s="6" t="n">
        <f aca="false">P3*$B$15</f>
        <v>0.583333333333333</v>
      </c>
      <c r="Q4" s="6"/>
      <c r="R4" s="6" t="n">
        <f aca="false">R3*$B$15</f>
        <v>0.583333333333333</v>
      </c>
      <c r="S4" s="6"/>
      <c r="T4" s="6" t="n">
        <f aca="false">T3*$B$15</f>
        <v>0.583333333333333</v>
      </c>
      <c r="U4" s="6"/>
      <c r="V4" s="6" t="n">
        <f aca="false">V3*$B$15</f>
        <v>0.583333333333333</v>
      </c>
      <c r="W4" s="6"/>
      <c r="X4" s="6" t="n">
        <f aca="false">X3*$B$15</f>
        <v>0.583333333333333</v>
      </c>
      <c r="Y4" s="6"/>
      <c r="Z4" s="6" t="n">
        <f aca="false">Z3*$B$15</f>
        <v>0.583333333333333</v>
      </c>
      <c r="AA4" s="6"/>
      <c r="AB4" s="6" t="n">
        <f aca="false">AB3*$B$15</f>
        <v>0.583333333333333</v>
      </c>
      <c r="AC4" s="6"/>
    </row>
    <row r="5" customFormat="false" ht="15" hidden="false" customHeight="false" outlineLevel="0" collapsed="false">
      <c r="E5" s="0" t="s">
        <v>488</v>
      </c>
      <c r="F5" s="6" t="n">
        <f aca="false">F4/28</f>
        <v>0.0208333333333333</v>
      </c>
      <c r="G5" s="6"/>
      <c r="H5" s="6" t="n">
        <f aca="false">H4/28</f>
        <v>0.0208333333333333</v>
      </c>
      <c r="I5" s="6"/>
      <c r="J5" s="6" t="n">
        <f aca="false">J4/31</f>
        <v>0.0188172043010753</v>
      </c>
      <c r="K5" s="6"/>
      <c r="L5" s="6" t="n">
        <f aca="false">L4/30</f>
        <v>0.0194444444444444</v>
      </c>
      <c r="M5" s="6"/>
      <c r="N5" s="6" t="n">
        <f aca="false">N4/31</f>
        <v>0.0188172043010753</v>
      </c>
      <c r="O5" s="6"/>
      <c r="P5" s="6" t="n">
        <f aca="false">P4/30</f>
        <v>0.0194444444444444</v>
      </c>
      <c r="Q5" s="6"/>
      <c r="R5" s="6" t="n">
        <f aca="false">R4/31</f>
        <v>0.0188172043010753</v>
      </c>
      <c r="S5" s="6"/>
      <c r="T5" s="6" t="n">
        <f aca="false">T4/31</f>
        <v>0.0188172043010753</v>
      </c>
      <c r="U5" s="6"/>
      <c r="V5" s="6" t="n">
        <f aca="false">V4/30</f>
        <v>0.0194444444444444</v>
      </c>
      <c r="W5" s="6"/>
      <c r="X5" s="6" t="n">
        <f aca="false">X4/31</f>
        <v>0.0188172043010753</v>
      </c>
      <c r="Y5" s="6"/>
      <c r="Z5" s="6" t="n">
        <f aca="false">Z4/30</f>
        <v>0.0194444444444444</v>
      </c>
      <c r="AA5" s="6"/>
      <c r="AB5" s="6" t="n">
        <f aca="false">AB4/31</f>
        <v>0.0188172043010753</v>
      </c>
      <c r="AC5" s="6"/>
    </row>
    <row r="6" customFormat="false" ht="15" hidden="false" customHeight="false" outlineLevel="0" collapsed="false">
      <c r="F6" s="274" t="s">
        <v>489</v>
      </c>
      <c r="G6" s="275" t="s">
        <v>490</v>
      </c>
      <c r="H6" s="274" t="s">
        <v>489</v>
      </c>
      <c r="I6" s="275" t="s">
        <v>490</v>
      </c>
      <c r="J6" s="274" t="s">
        <v>489</v>
      </c>
      <c r="K6" s="275" t="s">
        <v>490</v>
      </c>
      <c r="L6" s="274" t="s">
        <v>489</v>
      </c>
      <c r="M6" s="275" t="s">
        <v>490</v>
      </c>
      <c r="N6" s="274" t="s">
        <v>489</v>
      </c>
      <c r="O6" s="275" t="s">
        <v>490</v>
      </c>
      <c r="P6" s="274" t="s">
        <v>489</v>
      </c>
      <c r="Q6" s="275" t="s">
        <v>490</v>
      </c>
      <c r="R6" s="274" t="s">
        <v>489</v>
      </c>
      <c r="S6" s="275" t="s">
        <v>490</v>
      </c>
      <c r="T6" s="274" t="s">
        <v>489</v>
      </c>
      <c r="U6" s="275" t="s">
        <v>490</v>
      </c>
      <c r="V6" s="274" t="s">
        <v>489</v>
      </c>
      <c r="W6" s="275" t="s">
        <v>490</v>
      </c>
      <c r="X6" s="274" t="s">
        <v>489</v>
      </c>
      <c r="Y6" s="275" t="s">
        <v>490</v>
      </c>
      <c r="Z6" s="274" t="s">
        <v>489</v>
      </c>
      <c r="AA6" s="275" t="s">
        <v>490</v>
      </c>
      <c r="AB6" s="274" t="s">
        <v>489</v>
      </c>
      <c r="AC6" s="275" t="s">
        <v>490</v>
      </c>
    </row>
    <row r="7" customFormat="false" ht="15" hidden="false" customHeight="false" outlineLevel="0" collapsed="false">
      <c r="E7" s="0" t="s">
        <v>491</v>
      </c>
      <c r="F7" s="6" t="n">
        <f aca="false">F5*$B$16</f>
        <v>0.0217708333333333</v>
      </c>
      <c r="G7" s="6" t="n">
        <f aca="false">F5*$B$17</f>
        <v>0.0184375</v>
      </c>
      <c r="H7" s="6" t="n">
        <f aca="false">H5*$B$16</f>
        <v>0.0217708333333333</v>
      </c>
      <c r="I7" s="6" t="n">
        <f aca="false">H5*$B$17</f>
        <v>0.0184375</v>
      </c>
      <c r="J7" s="6" t="n">
        <f aca="false">J5*$B$16</f>
        <v>0.0196639784946237</v>
      </c>
      <c r="K7" s="6" t="n">
        <f aca="false">J5*$B$17</f>
        <v>0.0166532258064516</v>
      </c>
      <c r="L7" s="6" t="n">
        <f aca="false">L5*$B$16</f>
        <v>0.0203194444444444</v>
      </c>
      <c r="M7" s="6" t="n">
        <f aca="false">L5*$B$17</f>
        <v>0.0172083333333333</v>
      </c>
      <c r="N7" s="6" t="n">
        <f aca="false">N5*$B$16</f>
        <v>0.0196639784946237</v>
      </c>
      <c r="O7" s="6" t="n">
        <f aca="false">N5*$B$17</f>
        <v>0.0166532258064516</v>
      </c>
      <c r="P7" s="6" t="n">
        <f aca="false">P5*$B$16</f>
        <v>0.0203194444444444</v>
      </c>
      <c r="Q7" s="6" t="n">
        <f aca="false">P5*$B$17</f>
        <v>0.0172083333333333</v>
      </c>
      <c r="R7" s="6" t="n">
        <f aca="false">R5*$B$16</f>
        <v>0.0196639784946237</v>
      </c>
      <c r="S7" s="6" t="n">
        <f aca="false">R5*$B$17</f>
        <v>0.0166532258064516</v>
      </c>
      <c r="T7" s="6" t="n">
        <f aca="false">T5*$B$16</f>
        <v>0.0196639784946237</v>
      </c>
      <c r="U7" s="6" t="n">
        <f aca="false">T5*$B$17</f>
        <v>0.0166532258064516</v>
      </c>
      <c r="V7" s="6" t="n">
        <f aca="false">V5*$B$16</f>
        <v>0.0203194444444444</v>
      </c>
      <c r="W7" s="6" t="n">
        <f aca="false">V5*$B$17</f>
        <v>0.0172083333333333</v>
      </c>
      <c r="X7" s="6" t="n">
        <f aca="false">X5*$B$16</f>
        <v>0.0196639784946237</v>
      </c>
      <c r="Y7" s="6" t="n">
        <f aca="false">X5*$B$17</f>
        <v>0.0166532258064516</v>
      </c>
      <c r="Z7" s="6" t="n">
        <f aca="false">Z5*$B$16</f>
        <v>0.0203194444444444</v>
      </c>
      <c r="AA7" s="6" t="n">
        <f aca="false">Z5*$B$17</f>
        <v>0.0172083333333333</v>
      </c>
      <c r="AB7" s="6" t="n">
        <f aca="false">AB5*$B$16</f>
        <v>0.0196639784946237</v>
      </c>
      <c r="AC7" s="6" t="n">
        <f aca="false">AB5*$B$17</f>
        <v>0.0166532258064516</v>
      </c>
    </row>
    <row r="8" customFormat="false" ht="15" hidden="false" customHeight="false" outlineLevel="0" collapsed="false">
      <c r="E8" s="0" t="s">
        <v>492</v>
      </c>
      <c r="F8" s="276" t="n">
        <f aca="false">F7/24</f>
        <v>0.000907118055555555</v>
      </c>
      <c r="G8" s="276" t="n">
        <f aca="false">G7/24</f>
        <v>0.000768229166666667</v>
      </c>
      <c r="H8" s="276" t="n">
        <f aca="false">H7/24</f>
        <v>0.000907118055555555</v>
      </c>
      <c r="I8" s="276" t="n">
        <f aca="false">I7/24</f>
        <v>0.000768229166666667</v>
      </c>
      <c r="J8" s="276" t="n">
        <f aca="false">J7/24</f>
        <v>0.000819332437275986</v>
      </c>
      <c r="K8" s="276" t="n">
        <f aca="false">K7/24</f>
        <v>0.00069388440860215</v>
      </c>
      <c r="L8" s="276" t="n">
        <f aca="false">L7/24</f>
        <v>0.000846643518518518</v>
      </c>
      <c r="M8" s="276" t="n">
        <f aca="false">M7/24</f>
        <v>0.000717013888888889</v>
      </c>
      <c r="N8" s="276" t="n">
        <f aca="false">N7/24</f>
        <v>0.000819332437275986</v>
      </c>
      <c r="O8" s="276" t="n">
        <f aca="false">O7/24</f>
        <v>0.00069388440860215</v>
      </c>
      <c r="P8" s="276" t="n">
        <f aca="false">P7/24</f>
        <v>0.000846643518518518</v>
      </c>
      <c r="Q8" s="276" t="n">
        <f aca="false">Q7/24</f>
        <v>0.000717013888888889</v>
      </c>
      <c r="R8" s="276" t="n">
        <f aca="false">R7/24</f>
        <v>0.000819332437275986</v>
      </c>
      <c r="S8" s="276" t="n">
        <f aca="false">S7/24</f>
        <v>0.00069388440860215</v>
      </c>
      <c r="T8" s="276" t="n">
        <f aca="false">T7/24</f>
        <v>0.000819332437275986</v>
      </c>
      <c r="U8" s="276" t="n">
        <f aca="false">U7/24</f>
        <v>0.00069388440860215</v>
      </c>
      <c r="V8" s="276" t="n">
        <f aca="false">V7/24</f>
        <v>0.000846643518518518</v>
      </c>
      <c r="W8" s="276" t="n">
        <f aca="false">W7/24</f>
        <v>0.000717013888888889</v>
      </c>
      <c r="X8" s="276" t="n">
        <f aca="false">X7/24</f>
        <v>0.000819332437275986</v>
      </c>
      <c r="Y8" s="276" t="n">
        <f aca="false">Y7/24</f>
        <v>0.00069388440860215</v>
      </c>
      <c r="Z8" s="276" t="n">
        <f aca="false">Z7/24</f>
        <v>0.000846643518518518</v>
      </c>
      <c r="AA8" s="276" t="n">
        <f aca="false">AA7/24</f>
        <v>0.000717013888888889</v>
      </c>
      <c r="AB8" s="276" t="n">
        <f aca="false">AB7/24</f>
        <v>0.000819332437275986</v>
      </c>
      <c r="AC8" s="276" t="n">
        <f aca="false">AC7/24</f>
        <v>0.00069388440860215</v>
      </c>
    </row>
    <row r="9" customFormat="false" ht="15" hidden="false" customHeight="false" outlineLevel="0" collapsed="false">
      <c r="D9" s="277" t="s">
        <v>493</v>
      </c>
      <c r="E9" s="278" t="s">
        <v>494</v>
      </c>
      <c r="F9" s="5" t="n">
        <v>-0.000126900584795322</v>
      </c>
      <c r="G9" s="61" t="n">
        <v>-0.000121988304093567</v>
      </c>
      <c r="H9" s="247" t="n">
        <v>-0.000150438596491228</v>
      </c>
      <c r="I9" s="61" t="n">
        <v>-0.000150233918128655</v>
      </c>
      <c r="J9" s="247" t="n">
        <v>-2.59738039054752E-008</v>
      </c>
      <c r="K9" s="61" t="n">
        <v>-0.000127105263157895</v>
      </c>
      <c r="L9" s="247" t="n">
        <v>-7.4093567251462E-005</v>
      </c>
      <c r="M9" s="61" t="n">
        <v>-5.75146198830409E-005</v>
      </c>
      <c r="N9" s="247" t="n">
        <v>-0.000142046783625731</v>
      </c>
      <c r="O9" s="61" t="n">
        <v>-7.36842105263158E-005</v>
      </c>
      <c r="P9" s="247" t="n">
        <v>-0.00014327485380117</v>
      </c>
      <c r="Q9" s="61" t="n">
        <v>-0.000105204678362573</v>
      </c>
      <c r="R9" s="247" t="n">
        <v>-3.72849765739886E-008</v>
      </c>
      <c r="S9" s="61" t="n">
        <v>-0.000120555555555556</v>
      </c>
      <c r="T9" s="247" t="n">
        <v>-0.000152076023391813</v>
      </c>
      <c r="U9" s="61" t="n">
        <v>-0.000150847953216374</v>
      </c>
      <c r="V9" s="247" t="n">
        <v>-0.00016906432748538</v>
      </c>
      <c r="W9" s="61" t="n">
        <v>-0.000121169590643275</v>
      </c>
      <c r="X9" s="247" t="n">
        <v>-0.000138362573099415</v>
      </c>
      <c r="Y9" s="61" t="n">
        <v>-9.31286549707602E-005</v>
      </c>
      <c r="Z9" s="247" t="n">
        <v>-7.88011695906433E-005</v>
      </c>
      <c r="AA9" s="61" t="n">
        <v>-1.25512123388393E-007</v>
      </c>
      <c r="AB9" s="247" t="n">
        <v>-9.29239766081871E-005</v>
      </c>
      <c r="AC9" s="61" t="n">
        <v>-0.000103157894736842</v>
      </c>
      <c r="AD9" s="0" t="n">
        <f aca="false">F9/34200</f>
        <v>-3.71054341506789E-009</v>
      </c>
      <c r="AE9" s="0" t="n">
        <f aca="false">G9/34200</f>
        <v>-3.56690947642009E-009</v>
      </c>
      <c r="AF9" s="0" t="n">
        <f aca="false">H9/34200</f>
        <v>-4.39878937108854E-009</v>
      </c>
      <c r="AG9" s="0" t="n">
        <f aca="false">I9/34200</f>
        <v>-4.39280462364488E-009</v>
      </c>
      <c r="AH9" s="0" t="n">
        <v>-3.71054341506788E-009</v>
      </c>
      <c r="AI9" s="0" t="n">
        <f aca="false">K9/34200</f>
        <v>-3.71652816251155E-009</v>
      </c>
      <c r="AJ9" s="0" t="n">
        <f aca="false">L9/34200</f>
        <v>-2.16647857460415E-009</v>
      </c>
      <c r="AK9" s="0" t="n">
        <f aca="false">M9/34200</f>
        <v>-1.68171403166786E-009</v>
      </c>
      <c r="AL9" s="0" t="n">
        <f aca="false">N9/34200</f>
        <v>-4.15341472589857E-009</v>
      </c>
      <c r="AM9" s="0" t="n">
        <f aca="false">O9/34200</f>
        <v>-2.15450907971684E-009</v>
      </c>
      <c r="AN9" s="0" t="n">
        <f aca="false">P9/34200</f>
        <v>-4.18932321056053E-009</v>
      </c>
      <c r="AO9" s="0" t="n">
        <f aca="false">Q9/34200</f>
        <v>-3.07616018604015E-009</v>
      </c>
      <c r="AP9" s="0" t="n">
        <v>-5.32642522485551E-009</v>
      </c>
      <c r="AQ9" s="0" t="n">
        <f aca="false">S9/34200</f>
        <v>-3.5250162443145E-009</v>
      </c>
      <c r="AR9" s="0" t="n">
        <f aca="false">T9/34200</f>
        <v>-4.44666735063781E-009</v>
      </c>
      <c r="AS9" s="0" t="n">
        <f aca="false">U9/34200</f>
        <v>-4.41075886597585E-009</v>
      </c>
      <c r="AT9" s="0" t="n">
        <f aca="false">V9/34200</f>
        <v>-4.9434013884614E-009</v>
      </c>
      <c r="AU9" s="0" t="n">
        <f aca="false">W9/34200</f>
        <v>-3.54297048664547E-009</v>
      </c>
      <c r="AV9" s="0" t="n">
        <f aca="false">X9/34200</f>
        <v>-4.04568927191272E-009</v>
      </c>
      <c r="AW9" s="0" t="n">
        <f aca="false">Y9/34200</f>
        <v>-2.72306008686433E-009</v>
      </c>
      <c r="AX9" s="0" t="n">
        <f aca="false">Z9/34200</f>
        <v>-2.30412776580828E-009</v>
      </c>
      <c r="AY9" s="0" t="n">
        <v>-1.7930303341199E-008</v>
      </c>
      <c r="AZ9" s="0" t="n">
        <f aca="false">AB9/34200</f>
        <v>-2.71707533942068E-009</v>
      </c>
      <c r="BA9" s="0" t="n">
        <f aca="false">AC9/34200</f>
        <v>-3.01631271160357E-009</v>
      </c>
      <c r="BI9" s="0" t="n">
        <v>0</v>
      </c>
      <c r="BT9" s="0" t="n">
        <v>0</v>
      </c>
      <c r="CF9" s="0" t="n">
        <v>0</v>
      </c>
      <c r="CS9" s="0" t="n">
        <v>0</v>
      </c>
      <c r="DG9" s="0" t="n">
        <v>0</v>
      </c>
      <c r="DV9" s="0" t="n">
        <v>0</v>
      </c>
      <c r="EL9" s="0" t="n">
        <v>0</v>
      </c>
      <c r="FC9" s="0" t="n">
        <v>0</v>
      </c>
      <c r="FU9" s="0" t="n">
        <v>0</v>
      </c>
      <c r="GN9" s="0" t="n">
        <v>0</v>
      </c>
      <c r="HH9" s="0" t="n">
        <v>0</v>
      </c>
      <c r="IC9" s="0" t="n">
        <v>0</v>
      </c>
      <c r="IY9" s="0" t="n">
        <v>0</v>
      </c>
      <c r="JV9" s="0" t="n">
        <v>0</v>
      </c>
    </row>
    <row r="10" customFormat="false" ht="15" hidden="false" customHeight="false" outlineLevel="0" collapsed="false">
      <c r="D10" s="277"/>
      <c r="E10" s="279" t="s">
        <v>495</v>
      </c>
      <c r="F10" s="5" t="n">
        <v>-6.14035087719298E-005</v>
      </c>
      <c r="G10" s="280" t="n">
        <v>-2.16959064327485E-005</v>
      </c>
      <c r="H10" s="281" t="n">
        <v>-9.0672514619883E-005</v>
      </c>
      <c r="I10" s="280" t="n">
        <v>-1.04385964912281E-005</v>
      </c>
      <c r="J10" s="281" t="n">
        <v>-1.67572928422421E-008</v>
      </c>
      <c r="K10" s="280" t="n">
        <v>0</v>
      </c>
      <c r="L10" s="281" t="n">
        <v>-6.67251461988304E-005</v>
      </c>
      <c r="M10" s="280" t="n">
        <v>-3.00877192982456E-005</v>
      </c>
      <c r="N10" s="281" t="n">
        <v>-0.000176637426900585</v>
      </c>
      <c r="O10" s="280" t="n">
        <v>-4.5233918128655E-005</v>
      </c>
      <c r="P10" s="281" t="n">
        <v>-0.000211228070175439</v>
      </c>
      <c r="Q10" s="280" t="n">
        <v>-8.88304093567252E-005</v>
      </c>
      <c r="R10" s="281" t="n">
        <v>-5.04813446872542E-008</v>
      </c>
      <c r="S10" s="280" t="n">
        <v>-8.41228070175439E-005</v>
      </c>
      <c r="T10" s="281" t="n">
        <v>-0.000174795321637427</v>
      </c>
      <c r="U10" s="280" t="n">
        <v>-5.28070175438597E-005</v>
      </c>
      <c r="V10" s="281" t="n">
        <v>-0.000219210526315789</v>
      </c>
      <c r="W10" s="280" t="n">
        <v>-0.000102134502923977</v>
      </c>
      <c r="X10" s="281" t="n">
        <v>-0.00015453216374269</v>
      </c>
      <c r="Y10" s="280" t="n">
        <v>-8.98538011695906E-005</v>
      </c>
      <c r="Z10" s="281" t="n">
        <v>-0.000106023391812866</v>
      </c>
      <c r="AA10" s="280" t="n">
        <v>-3.92958517150576E-008</v>
      </c>
      <c r="AB10" s="281" t="n">
        <v>-6.54970760233918E-005</v>
      </c>
      <c r="AC10" s="280" t="n">
        <v>-1.82163742690059E-005</v>
      </c>
      <c r="AD10" s="0" t="n">
        <f aca="false">F10/34200</f>
        <v>-1.79542423309736E-009</v>
      </c>
      <c r="AE10" s="0" t="n">
        <f aca="false">G10/34200</f>
        <v>-6.34383229027734E-010</v>
      </c>
      <c r="AF10" s="0" t="n">
        <f aca="false">H10/34200</f>
        <v>-2.65124311754044E-009</v>
      </c>
      <c r="AG10" s="0" t="n">
        <f aca="false">I10/34200</f>
        <v>-3.05222119626553E-010</v>
      </c>
      <c r="AH10" s="0" t="n">
        <v>-2.39389897746315E-009</v>
      </c>
      <c r="AI10" s="0" t="n">
        <f aca="false">K10/34200</f>
        <v>0</v>
      </c>
      <c r="AJ10" s="0" t="n">
        <f aca="false">L10/34200</f>
        <v>-1.95102766663247E-009</v>
      </c>
      <c r="AK10" s="0" t="n">
        <f aca="false">M10/34200</f>
        <v>-8.79757874217708E-010</v>
      </c>
      <c r="AL10" s="0" t="n">
        <f aca="false">N10/34200</f>
        <v>-5.16483704387675E-009</v>
      </c>
      <c r="AM10" s="0" t="n">
        <f aca="false">O10/34200</f>
        <v>-1.32262918504839E-009</v>
      </c>
      <c r="AN10" s="0" t="n">
        <f aca="false">P10/34200</f>
        <v>-6.17625936185494E-009</v>
      </c>
      <c r="AO10" s="0" t="n">
        <f aca="false">Q10/34200</f>
        <v>-2.59738039054752E-009</v>
      </c>
      <c r="AP10" s="0" t="n">
        <v>-7.21162066960774E-009</v>
      </c>
      <c r="AQ10" s="0" t="n">
        <f aca="false">S10/34200</f>
        <v>-2.45973119934339E-009</v>
      </c>
      <c r="AR10" s="0" t="n">
        <f aca="false">T10/34200</f>
        <v>-5.11097431688383E-009</v>
      </c>
      <c r="AS10" s="0" t="n">
        <f aca="false">U10/34200</f>
        <v>-1.54406484046373E-009</v>
      </c>
      <c r="AT10" s="0" t="n">
        <f aca="false">V10/34200</f>
        <v>-6.40966451215757E-009</v>
      </c>
      <c r="AU10" s="0" t="n">
        <f aca="false">W10/34200</f>
        <v>-2.98638897438529E-009</v>
      </c>
      <c r="AV10" s="0" t="n">
        <f aca="false">X10/34200</f>
        <v>-4.5184843199617E-009</v>
      </c>
      <c r="AW10" s="0" t="n">
        <f aca="false">Y10/34200</f>
        <v>-2.62730412776581E-009</v>
      </c>
      <c r="AX10" s="0" t="n">
        <f aca="false">Z10/34200</f>
        <v>-3.1000991758148E-009</v>
      </c>
      <c r="AY10" s="0" t="n">
        <v>-5.61369310215109E-009</v>
      </c>
      <c r="AZ10" s="0" t="n">
        <f aca="false">AB10/34200</f>
        <v>-1.91511918197052E-009</v>
      </c>
      <c r="BA10" s="0" t="n">
        <f aca="false">AC10/34200</f>
        <v>-5.32642522485553E-010</v>
      </c>
      <c r="BI10" s="0" t="n">
        <v>0</v>
      </c>
      <c r="BT10" s="0" t="n">
        <v>0</v>
      </c>
      <c r="CF10" s="0" t="n">
        <v>0</v>
      </c>
      <c r="CS10" s="0" t="n">
        <v>0</v>
      </c>
      <c r="DG10" s="0" t="n">
        <v>0</v>
      </c>
      <c r="DV10" s="0" t="n">
        <v>0</v>
      </c>
      <c r="EL10" s="0" t="n">
        <v>0</v>
      </c>
      <c r="FC10" s="0" t="n">
        <v>0</v>
      </c>
      <c r="FU10" s="0" t="n">
        <v>0</v>
      </c>
      <c r="GN10" s="0" t="n">
        <v>0</v>
      </c>
      <c r="HH10" s="0" t="n">
        <v>0</v>
      </c>
      <c r="IC10" s="0" t="n">
        <v>0</v>
      </c>
      <c r="IY10" s="0" t="n">
        <v>0</v>
      </c>
      <c r="JV10" s="0" t="n">
        <v>0</v>
      </c>
    </row>
    <row r="11" customFormat="false" ht="15" hidden="false" customHeight="false" outlineLevel="0" collapsed="false">
      <c r="D11" s="277"/>
      <c r="E11" s="279" t="s">
        <v>496</v>
      </c>
      <c r="F11" s="281" t="n">
        <v>0.247138413333333</v>
      </c>
      <c r="G11" s="280" t="n">
        <v>0.241378831666667</v>
      </c>
      <c r="H11" s="281" t="n">
        <v>0.2316922625</v>
      </c>
      <c r="I11" s="280" t="n">
        <v>0.241640630833333</v>
      </c>
      <c r="J11" s="281" t="n">
        <v>0.2599665725</v>
      </c>
      <c r="K11" s="280" t="n">
        <v>0.265202555833333</v>
      </c>
      <c r="L11" s="281" t="n">
        <v>0.270700338333333</v>
      </c>
      <c r="M11" s="280" t="n">
        <v>0.270700338333333</v>
      </c>
      <c r="N11" s="281" t="n">
        <v>0.257348580833333</v>
      </c>
      <c r="O11" s="280" t="n">
        <v>0.2599665725</v>
      </c>
      <c r="P11" s="281" t="n">
        <v>0.0647006306619889</v>
      </c>
      <c r="Q11" s="280" t="n">
        <v>0.237451844166667</v>
      </c>
      <c r="R11" s="281" t="n">
        <v>0.247138413333333</v>
      </c>
      <c r="S11" s="280" t="n">
        <v>0.241378831666667</v>
      </c>
      <c r="T11" s="281" t="n">
        <v>0.2316922625</v>
      </c>
      <c r="U11" s="280" t="n">
        <v>0.241640630833333</v>
      </c>
      <c r="V11" s="281" t="n">
        <v>0.2599665725</v>
      </c>
      <c r="W11" s="280" t="n">
        <v>0.265202555833333</v>
      </c>
      <c r="X11" s="281" t="n">
        <v>0.270700338333333</v>
      </c>
      <c r="Y11" s="280" t="n">
        <v>0.270700338333333</v>
      </c>
      <c r="Z11" s="281" t="n">
        <v>0.257348580833333</v>
      </c>
      <c r="AA11" s="280" t="n">
        <v>0.2599665725</v>
      </c>
      <c r="AB11" s="281" t="n">
        <v>0.0647006306619889</v>
      </c>
      <c r="AC11" s="280" t="n">
        <v>0.237451844166667</v>
      </c>
      <c r="AD11" s="0" t="n">
        <v>0.944000000000001</v>
      </c>
      <c r="AE11" s="0" t="n">
        <f aca="false">G11</f>
        <v>0.241378831666667</v>
      </c>
      <c r="AF11" s="0" t="n">
        <v>0.922</v>
      </c>
      <c r="AG11" s="0" t="n">
        <v>0.246353015833333</v>
      </c>
      <c r="AH11" s="0" t="n">
        <v>0.885</v>
      </c>
      <c r="AI11" s="0" t="n">
        <f aca="false">K11</f>
        <v>0.265202555833333</v>
      </c>
      <c r="AJ11" s="0" t="n">
        <v>0.923</v>
      </c>
      <c r="AK11" s="0" t="n">
        <f aca="false">M11</f>
        <v>0.270700338333333</v>
      </c>
      <c r="AL11" s="0" t="n">
        <v>0.993</v>
      </c>
      <c r="AM11" s="0" t="n">
        <f aca="false">O11</f>
        <v>0.2599665725</v>
      </c>
      <c r="AN11" s="0" t="n">
        <v>1.013</v>
      </c>
      <c r="AO11" s="0" t="n">
        <v>0.262584564166667</v>
      </c>
      <c r="AP11" s="0" t="n">
        <v>1.034</v>
      </c>
      <c r="AQ11" s="0" t="n">
        <f aca="false">S11</f>
        <v>0.241378831666667</v>
      </c>
      <c r="AR11" s="0" t="n">
        <v>1.034</v>
      </c>
      <c r="AS11" s="0" t="n">
        <f aca="false">U11</f>
        <v>0.241640630833333</v>
      </c>
      <c r="AT11" s="0" t="n">
        <v>0.983</v>
      </c>
      <c r="AU11" s="0" t="n">
        <f aca="false">W11</f>
        <v>0.265202555833333</v>
      </c>
      <c r="AV11" s="0" t="n">
        <v>0.993</v>
      </c>
      <c r="AW11" s="0" t="n">
        <f aca="false">Y11</f>
        <v>0.270700338333333</v>
      </c>
      <c r="AX11" s="0" t="n">
        <v>0.247138413333333</v>
      </c>
      <c r="AY11" s="0" t="n">
        <f aca="false">AA11</f>
        <v>0.2599665725</v>
      </c>
      <c r="AZ11" s="0" t="n">
        <v>0.907</v>
      </c>
      <c r="BA11" s="0" t="n">
        <f aca="false">AC11</f>
        <v>0.237451844166667</v>
      </c>
      <c r="BH11" s="0" t="n">
        <v>0</v>
      </c>
      <c r="BS11" s="0" t="n">
        <v>0</v>
      </c>
      <c r="CE11" s="0" t="n">
        <v>0</v>
      </c>
      <c r="CR11" s="0" t="n">
        <v>0</v>
      </c>
      <c r="DF11" s="0" t="n">
        <v>0</v>
      </c>
      <c r="DU11" s="0" t="n">
        <v>0</v>
      </c>
      <c r="EK11" s="0" t="n">
        <v>0</v>
      </c>
      <c r="FB11" s="0" t="n">
        <v>0</v>
      </c>
      <c r="FT11" s="0" t="n">
        <v>0</v>
      </c>
      <c r="GM11" s="0" t="n">
        <v>0</v>
      </c>
      <c r="HG11" s="0" t="n">
        <v>0</v>
      </c>
      <c r="IB11" s="0" t="n">
        <v>0</v>
      </c>
      <c r="IX11" s="0" t="n">
        <v>0</v>
      </c>
      <c r="JU11" s="0" t="n">
        <v>0</v>
      </c>
      <c r="KS11" s="0" t="n">
        <v>0</v>
      </c>
    </row>
    <row r="12" customFormat="false" ht="15" hidden="false" customHeight="false" outlineLevel="0" collapsed="false">
      <c r="D12" s="277"/>
      <c r="E12" s="282" t="s">
        <v>497</v>
      </c>
      <c r="F12" s="283" t="n">
        <v>0</v>
      </c>
      <c r="G12" s="284" t="n">
        <v>0</v>
      </c>
      <c r="H12" s="283" t="n">
        <v>0</v>
      </c>
      <c r="I12" s="284" t="n">
        <v>0</v>
      </c>
      <c r="J12" s="283" t="n">
        <v>0</v>
      </c>
      <c r="K12" s="284" t="n">
        <v>0</v>
      </c>
      <c r="L12" s="283" t="n">
        <v>0</v>
      </c>
      <c r="M12" s="284" t="n">
        <v>0</v>
      </c>
      <c r="N12" s="283" t="n">
        <v>0</v>
      </c>
      <c r="O12" s="284" t="n">
        <v>0</v>
      </c>
      <c r="P12" s="283" t="n">
        <v>0</v>
      </c>
      <c r="Q12" s="284" t="n">
        <v>0</v>
      </c>
      <c r="R12" s="283" t="n">
        <v>0</v>
      </c>
      <c r="S12" s="284" t="n">
        <v>0</v>
      </c>
      <c r="T12" s="283" t="n">
        <v>0</v>
      </c>
      <c r="U12" s="284" t="n">
        <v>0</v>
      </c>
      <c r="V12" s="283" t="n">
        <v>0</v>
      </c>
      <c r="W12" s="284" t="n">
        <v>0</v>
      </c>
      <c r="X12" s="283" t="n">
        <v>0</v>
      </c>
      <c r="Y12" s="284" t="n">
        <v>0</v>
      </c>
      <c r="Z12" s="283" t="n">
        <v>0</v>
      </c>
      <c r="AA12" s="284" t="n">
        <v>0</v>
      </c>
      <c r="AB12" s="283" t="n">
        <v>0</v>
      </c>
      <c r="AC12" s="284" t="n">
        <v>0</v>
      </c>
      <c r="AD12" s="0" t="n">
        <f aca="false">F12</f>
        <v>0</v>
      </c>
      <c r="AE12" s="0" t="n">
        <f aca="false">G12</f>
        <v>0</v>
      </c>
      <c r="AF12" s="0" t="n">
        <f aca="false">H12</f>
        <v>0</v>
      </c>
      <c r="AG12" s="0" t="n">
        <f aca="false">I12</f>
        <v>0</v>
      </c>
      <c r="AH12" s="0" t="n">
        <f aca="false">J12</f>
        <v>0</v>
      </c>
      <c r="AI12" s="0" t="n">
        <f aca="false">K12</f>
        <v>0</v>
      </c>
      <c r="AJ12" s="0" t="n">
        <f aca="false">L12</f>
        <v>0</v>
      </c>
      <c r="AK12" s="0" t="n">
        <f aca="false">M12</f>
        <v>0</v>
      </c>
      <c r="AL12" s="0" t="n">
        <f aca="false">N12</f>
        <v>0</v>
      </c>
      <c r="AM12" s="0" t="n">
        <f aca="false">O12</f>
        <v>0</v>
      </c>
      <c r="AN12" s="0" t="n">
        <f aca="false">P12</f>
        <v>0</v>
      </c>
      <c r="AO12" s="0" t="n">
        <f aca="false">Q12</f>
        <v>0</v>
      </c>
      <c r="AP12" s="0" t="n">
        <f aca="false">R12</f>
        <v>0</v>
      </c>
      <c r="AQ12" s="0" t="n">
        <f aca="false">S12</f>
        <v>0</v>
      </c>
      <c r="AR12" s="0" t="n">
        <f aca="false">T12</f>
        <v>0</v>
      </c>
      <c r="AS12" s="0" t="n">
        <f aca="false">U12</f>
        <v>0</v>
      </c>
      <c r="AT12" s="0" t="n">
        <f aca="false">V12</f>
        <v>0</v>
      </c>
      <c r="AU12" s="0" t="n">
        <f aca="false">W12</f>
        <v>0</v>
      </c>
      <c r="AV12" s="0" t="n">
        <f aca="false">X12</f>
        <v>0</v>
      </c>
      <c r="AW12" s="0" t="n">
        <f aca="false">Y12</f>
        <v>0</v>
      </c>
      <c r="AX12" s="0" t="n">
        <f aca="false">Z12</f>
        <v>0</v>
      </c>
      <c r="AY12" s="0" t="n">
        <f aca="false">AA12</f>
        <v>0</v>
      </c>
      <c r="AZ12" s="0" t="n">
        <f aca="false">AB12</f>
        <v>0</v>
      </c>
      <c r="BA12" s="0" t="n">
        <f aca="false">AC12</f>
        <v>0</v>
      </c>
    </row>
    <row r="13" customFormat="false" ht="15" hidden="false" customHeight="false" outlineLevel="0" collapsed="false">
      <c r="D13" s="277" t="s">
        <v>498</v>
      </c>
      <c r="E13" s="278" t="s">
        <v>494</v>
      </c>
      <c r="F13" s="247" t="n">
        <v>-6.54970760233918E-006</v>
      </c>
      <c r="G13" s="61" t="n">
        <v>-1.8625730994152E-005</v>
      </c>
      <c r="H13" s="247" t="n">
        <v>0</v>
      </c>
      <c r="I13" s="61" t="n">
        <v>-4.95321637426901E-005</v>
      </c>
      <c r="J13" s="247" t="n">
        <v>0</v>
      </c>
      <c r="K13" s="61" t="n">
        <v>-5.71052631578947E-005</v>
      </c>
      <c r="L13" s="247" t="n">
        <v>-2.78362573099415E-005</v>
      </c>
      <c r="M13" s="61" t="n">
        <v>-6.34502923976608E-006</v>
      </c>
      <c r="N13" s="247" t="n">
        <v>0</v>
      </c>
      <c r="O13" s="61" t="n">
        <v>-8.39181286549708E-006</v>
      </c>
      <c r="P13" s="247" t="n">
        <v>0</v>
      </c>
      <c r="Q13" s="61" t="n">
        <v>0</v>
      </c>
      <c r="R13" s="247" t="n">
        <v>0</v>
      </c>
      <c r="S13" s="61" t="n">
        <v>0</v>
      </c>
      <c r="T13" s="247" t="n">
        <v>-1.78070175438596E-005</v>
      </c>
      <c r="U13" s="61" t="n">
        <v>-1.4327485380117E-006</v>
      </c>
      <c r="V13" s="247" t="n">
        <v>-2.61988304093567E-005</v>
      </c>
      <c r="W13" s="61" t="n">
        <v>0</v>
      </c>
      <c r="X13" s="247" t="n">
        <v>-6.54970760233918E-005</v>
      </c>
      <c r="Y13" s="61" t="n">
        <v>-3.62280701754386E-005</v>
      </c>
      <c r="Z13" s="247" t="n">
        <v>-3.86842105263158E-005</v>
      </c>
      <c r="AA13" s="61" t="n">
        <v>-1.84749153585719E-008</v>
      </c>
      <c r="AB13" s="247" t="n">
        <v>-3.84795321637427E-005</v>
      </c>
      <c r="AC13" s="61" t="n">
        <v>0</v>
      </c>
      <c r="AD13" s="0" t="n">
        <f aca="false">F13/34200</f>
        <v>-1.91511918197052E-010</v>
      </c>
      <c r="AE13" s="0" t="n">
        <f aca="false">G13/34200</f>
        <v>-5.44612017372866E-010</v>
      </c>
      <c r="AF13" s="0" t="n">
        <f aca="false">H13/34200</f>
        <v>0</v>
      </c>
      <c r="AG13" s="0" t="n">
        <f aca="false">I13/34200</f>
        <v>-1.44830888136521E-009</v>
      </c>
      <c r="AH13" s="0" t="n">
        <v>0</v>
      </c>
      <c r="AI13" s="0" t="n">
        <f aca="false">K13/34200</f>
        <v>-1.66974453678055E-009</v>
      </c>
      <c r="AJ13" s="0" t="n">
        <f aca="false">L13/34200</f>
        <v>-8.13925652337471E-010</v>
      </c>
      <c r="AK13" s="0" t="n">
        <f aca="false">M13/34200</f>
        <v>-1.85527170753394E-010</v>
      </c>
      <c r="AL13" s="0" t="n">
        <f aca="false">N13/34200</f>
        <v>0</v>
      </c>
      <c r="AM13" s="0" t="n">
        <f aca="false">O13/34200</f>
        <v>-2.45374645189973E-010</v>
      </c>
      <c r="AN13" s="0" t="n">
        <f aca="false">P13/34200</f>
        <v>0</v>
      </c>
      <c r="AO13" s="0" t="n">
        <f aca="false">Q13/34200</f>
        <v>0</v>
      </c>
      <c r="AP13" s="0" t="n">
        <v>0</v>
      </c>
      <c r="AQ13" s="0" t="n">
        <f aca="false">S13/34200</f>
        <v>0</v>
      </c>
      <c r="AR13" s="0" t="n">
        <f aca="false">T13/34200</f>
        <v>-5.20673027598234E-010</v>
      </c>
      <c r="AS13" s="0" t="n">
        <f aca="false">U13/34200</f>
        <v>-4.18932321056053E-011</v>
      </c>
      <c r="AT13" s="0" t="n">
        <f aca="false">V13/34200</f>
        <v>-7.66047672788208E-010</v>
      </c>
      <c r="AU13" s="0" t="n">
        <f aca="false">W13/34200</f>
        <v>0</v>
      </c>
      <c r="AV13" s="0" t="n">
        <f aca="false">X13/34200</f>
        <v>-1.91511918197052E-009</v>
      </c>
      <c r="AW13" s="0" t="n">
        <f aca="false">Y13/34200</f>
        <v>-1.05930029752744E-009</v>
      </c>
      <c r="AX13" s="0" t="n">
        <f aca="false">Z13/34200</f>
        <v>-1.13111726685134E-009</v>
      </c>
      <c r="AY13" s="0" t="n">
        <v>-2.63927362265312E-009</v>
      </c>
      <c r="AZ13" s="0" t="n">
        <f aca="false">AB13/34200</f>
        <v>-1.12513251940768E-009</v>
      </c>
      <c r="BA13" s="0" t="n">
        <f aca="false">AC13/34200</f>
        <v>0</v>
      </c>
      <c r="BI13" s="0" t="n">
        <v>0</v>
      </c>
      <c r="BT13" s="0" t="n">
        <v>0</v>
      </c>
      <c r="CF13" s="0" t="n">
        <v>0</v>
      </c>
      <c r="CS13" s="0" t="n">
        <v>0</v>
      </c>
      <c r="DG13" s="0" t="n">
        <v>0</v>
      </c>
      <c r="DV13" s="0" t="n">
        <v>0</v>
      </c>
      <c r="EL13" s="0" t="n">
        <v>0</v>
      </c>
      <c r="FC13" s="0" t="n">
        <v>0</v>
      </c>
      <c r="FU13" s="0" t="n">
        <v>0</v>
      </c>
      <c r="GN13" s="0" t="n">
        <v>0</v>
      </c>
      <c r="HH13" s="0" t="n">
        <v>0</v>
      </c>
      <c r="IC13" s="0" t="n">
        <v>0</v>
      </c>
      <c r="IY13" s="0" t="n">
        <v>0</v>
      </c>
      <c r="JV13" s="0" t="n">
        <v>0</v>
      </c>
    </row>
    <row r="14" customFormat="false" ht="15" hidden="false" customHeight="false" outlineLevel="0" collapsed="false">
      <c r="A14" s="0" t="s">
        <v>499</v>
      </c>
      <c r="B14" s="0" t="n">
        <f aca="false">2*PI()/24</f>
        <v>0.261799387799149</v>
      </c>
      <c r="D14" s="277"/>
      <c r="E14" s="279" t="s">
        <v>495</v>
      </c>
      <c r="F14" s="281" t="n">
        <v>-9.51754385964912E-005</v>
      </c>
      <c r="G14" s="280" t="n">
        <v>-4.68713450292398E-005</v>
      </c>
      <c r="H14" s="281" t="n">
        <v>-0.000114005847953216</v>
      </c>
      <c r="I14" s="280" t="n">
        <v>2.0672514619883E-005</v>
      </c>
      <c r="J14" s="281" t="n">
        <v>-2.31669573543996E-008</v>
      </c>
      <c r="K14" s="280" t="n">
        <v>-1.45321637426901E-005</v>
      </c>
      <c r="L14" s="281" t="n">
        <v>-7.49122807017544E-005</v>
      </c>
      <c r="M14" s="280" t="n">
        <v>-5.87426900584795E-005</v>
      </c>
      <c r="N14" s="281" t="n">
        <v>0</v>
      </c>
      <c r="O14" s="280" t="n">
        <v>-4.17543859649123E-005</v>
      </c>
      <c r="P14" s="281" t="n">
        <v>-3.37719298245614E-005</v>
      </c>
      <c r="Q14" s="280" t="n">
        <v>2.51754385964912E-005</v>
      </c>
      <c r="R14" s="281" t="n">
        <v>0</v>
      </c>
      <c r="S14" s="280" t="n">
        <v>-2.37426900584795E-005</v>
      </c>
      <c r="T14" s="281" t="n">
        <v>0</v>
      </c>
      <c r="U14" s="280" t="n">
        <v>-1.94444444444444E-005</v>
      </c>
      <c r="V14" s="281" t="n">
        <v>0</v>
      </c>
      <c r="W14" s="280" t="n">
        <v>0</v>
      </c>
      <c r="X14" s="281" t="n">
        <v>-2.61988304093567E-005</v>
      </c>
      <c r="Y14" s="280" t="n">
        <v>2.00584795321637E-005</v>
      </c>
      <c r="Z14" s="281" t="n">
        <v>0</v>
      </c>
      <c r="AA14" s="280" t="n">
        <v>-5.63045039499333E-008</v>
      </c>
      <c r="AB14" s="281" t="n">
        <v>-7.8187134502924E-005</v>
      </c>
      <c r="AC14" s="280" t="n">
        <v>0</v>
      </c>
      <c r="AD14" s="0" t="n">
        <f aca="false">F14/34200</f>
        <v>-2.78290756130091E-009</v>
      </c>
      <c r="AE14" s="0" t="n">
        <f aca="false">G14/34200</f>
        <v>-1.37050716459765E-009</v>
      </c>
      <c r="AF14" s="0" t="n">
        <f aca="false">H14/34200</f>
        <v>-3.33350432611743E-009</v>
      </c>
      <c r="AG14" s="0" t="n">
        <f aca="false">I14/34200</f>
        <v>6.04459491809444E-010</v>
      </c>
      <c r="AH14" s="0" t="n">
        <v>-3.30956533634281E-009</v>
      </c>
      <c r="AI14" s="0" t="n">
        <f aca="false">K14/34200</f>
        <v>-4.24917068499711E-010</v>
      </c>
      <c r="AJ14" s="0" t="n">
        <f aca="false">L14/34200</f>
        <v>-2.19041756437878E-009</v>
      </c>
      <c r="AK14" s="0" t="n">
        <f aca="false">M14/34200</f>
        <v>-1.71762251632981E-009</v>
      </c>
      <c r="AL14" s="0" t="n">
        <f aca="false">N14/34200</f>
        <v>0</v>
      </c>
      <c r="AM14" s="0" t="n">
        <f aca="false">O14/34200</f>
        <v>-1.22088847850621E-009</v>
      </c>
      <c r="AN14" s="0" t="n">
        <f aca="false">P14/34200</f>
        <v>-9.8748332820355E-010</v>
      </c>
      <c r="AO14" s="0" t="n">
        <f aca="false">Q14/34200</f>
        <v>7.36123935569918E-010</v>
      </c>
      <c r="AP14" s="0" t="n">
        <v>0</v>
      </c>
      <c r="AQ14" s="0" t="n">
        <f aca="false">S14/34200</f>
        <v>-6.94230703464313E-010</v>
      </c>
      <c r="AR14" s="0" t="n">
        <f aca="false">T14/34200</f>
        <v>0</v>
      </c>
      <c r="AS14" s="0" t="n">
        <f aca="false">U14/34200</f>
        <v>-5.68551007147497E-010</v>
      </c>
      <c r="AT14" s="0" t="n">
        <f aca="false">V14/34200</f>
        <v>0</v>
      </c>
      <c r="AU14" s="0" t="n">
        <f aca="false">W14/34200</f>
        <v>0</v>
      </c>
      <c r="AV14" s="0" t="n">
        <f aca="false">X14/34200</f>
        <v>-7.66047672788208E-010</v>
      </c>
      <c r="AW14" s="0" t="n">
        <f aca="false">Y14/34200</f>
        <v>5.86505249478471E-010</v>
      </c>
      <c r="AX14" s="0" t="n">
        <f aca="false">Z14/34200</f>
        <v>0</v>
      </c>
      <c r="AY14" s="0" t="n">
        <v>-8.04350056427619E-009</v>
      </c>
      <c r="AZ14" s="0" t="n">
        <f aca="false">AB14/34200</f>
        <v>-2.28617352347731E-009</v>
      </c>
      <c r="BA14" s="0" t="n">
        <f aca="false">AC14/34200</f>
        <v>0</v>
      </c>
      <c r="BI14" s="0" t="n">
        <v>0</v>
      </c>
      <c r="BT14" s="0" t="n">
        <v>0</v>
      </c>
      <c r="CF14" s="0" t="n">
        <v>0</v>
      </c>
      <c r="CS14" s="0" t="n">
        <v>0</v>
      </c>
      <c r="DG14" s="0" t="n">
        <v>0</v>
      </c>
      <c r="DV14" s="0" t="n">
        <v>0</v>
      </c>
      <c r="EL14" s="0" t="n">
        <v>0</v>
      </c>
      <c r="FC14" s="0" t="n">
        <v>0</v>
      </c>
      <c r="FU14" s="0" t="n">
        <v>0</v>
      </c>
      <c r="GN14" s="0" t="n">
        <v>0</v>
      </c>
      <c r="HH14" s="0" t="n">
        <v>0</v>
      </c>
      <c r="IC14" s="0" t="n">
        <v>0</v>
      </c>
      <c r="IY14" s="0" t="n">
        <v>0</v>
      </c>
      <c r="JV14" s="0" t="n">
        <v>0</v>
      </c>
    </row>
    <row r="15" customFormat="false" ht="15" hidden="false" customHeight="false" outlineLevel="0" collapsed="false">
      <c r="A15" s="0" t="s">
        <v>500</v>
      </c>
      <c r="B15" s="0" t="n">
        <v>7</v>
      </c>
      <c r="D15" s="277"/>
      <c r="E15" s="279" t="s">
        <v>496</v>
      </c>
      <c r="F15" s="281" t="n">
        <v>0.526478124166666</v>
      </c>
      <c r="G15" s="280" t="n">
        <v>0.53092871</v>
      </c>
      <c r="H15" s="281" t="n">
        <v>0.520194944166667</v>
      </c>
      <c r="I15" s="280" t="n">
        <v>0.51836235</v>
      </c>
      <c r="J15" s="281" t="n">
        <v>0</v>
      </c>
      <c r="K15" s="280" t="n">
        <v>0.523074735</v>
      </c>
      <c r="L15" s="281" t="n">
        <v>0</v>
      </c>
      <c r="M15" s="280" t="n">
        <v>0.423067453333333</v>
      </c>
      <c r="N15" s="281" t="n">
        <v>0.539829881666667</v>
      </c>
      <c r="O15" s="280" t="n">
        <v>0.521242140833333</v>
      </c>
      <c r="P15" s="281" t="n">
        <v>0.145644957793142</v>
      </c>
      <c r="Q15" s="280" t="n">
        <v>0.582503145833333</v>
      </c>
      <c r="R15" s="281" t="n">
        <v>0.526478124166666</v>
      </c>
      <c r="S15" s="280" t="n">
        <v>0.53092871</v>
      </c>
      <c r="T15" s="281" t="n">
        <v>0.520194944166667</v>
      </c>
      <c r="U15" s="280" t="n">
        <v>0.51836235</v>
      </c>
      <c r="V15" s="281" t="n">
        <v>0</v>
      </c>
      <c r="W15" s="280" t="n">
        <v>0.523074735</v>
      </c>
      <c r="X15" s="281" t="n">
        <v>0</v>
      </c>
      <c r="Y15" s="280" t="n">
        <v>0.423067453333333</v>
      </c>
      <c r="Z15" s="281" t="n">
        <v>0.539829881666667</v>
      </c>
      <c r="AA15" s="280" t="n">
        <v>0.521242140833333</v>
      </c>
      <c r="AB15" s="281" t="n">
        <v>0.145644957793142</v>
      </c>
      <c r="AC15" s="280" t="n">
        <v>0.582503145833333</v>
      </c>
      <c r="AD15" s="0" t="n">
        <v>2.011</v>
      </c>
      <c r="AE15" s="0" t="n">
        <f aca="false">G15</f>
        <v>0.53092871</v>
      </c>
      <c r="AF15" s="0" t="n">
        <v>2.028</v>
      </c>
      <c r="AG15" s="0" t="n">
        <v>0.556585028333333</v>
      </c>
      <c r="AH15" s="0" t="n">
        <v>1.987</v>
      </c>
      <c r="AI15" s="0" t="n">
        <f aca="false">K15</f>
        <v>0.523074735</v>
      </c>
      <c r="AJ15" s="0" t="n">
        <v>1.98</v>
      </c>
      <c r="AK15" s="0" t="n">
        <f aca="false">M15</f>
        <v>0.423067453333333</v>
      </c>
      <c r="AL15" s="0" t="n">
        <v>0</v>
      </c>
      <c r="AM15" s="0" t="n">
        <f aca="false">O15</f>
        <v>0.521242140833333</v>
      </c>
      <c r="AN15" s="0" t="n">
        <v>1.998</v>
      </c>
      <c r="AO15" s="0" t="n">
        <v>0.497942015</v>
      </c>
      <c r="AP15" s="0" t="n">
        <v>0</v>
      </c>
      <c r="AQ15" s="0" t="n">
        <f aca="false">S15</f>
        <v>0.53092871</v>
      </c>
      <c r="AR15" s="0" t="n">
        <v>1.616</v>
      </c>
      <c r="AS15" s="0" t="n">
        <f aca="false">U15</f>
        <v>0.51836235</v>
      </c>
      <c r="AT15" s="0" t="n">
        <v>2.062</v>
      </c>
      <c r="AU15" s="0" t="n">
        <f aca="false">W15</f>
        <v>0.523074735</v>
      </c>
      <c r="AV15" s="0" t="n">
        <v>1.991</v>
      </c>
      <c r="AW15" s="0" t="n">
        <f aca="false">Y15</f>
        <v>0.423067453333333</v>
      </c>
      <c r="AX15" s="0" t="n">
        <v>0.556323229166667</v>
      </c>
      <c r="AY15" s="0" t="n">
        <f aca="false">AA15</f>
        <v>0.521242140833333</v>
      </c>
      <c r="AZ15" s="0" t="n">
        <v>2.225</v>
      </c>
      <c r="BA15" s="0" t="n">
        <f aca="false">AC15</f>
        <v>0.582503145833333</v>
      </c>
      <c r="BH15" s="0" t="n">
        <v>0</v>
      </c>
      <c r="BS15" s="0" t="n">
        <v>0</v>
      </c>
      <c r="CE15" s="0" t="n">
        <v>0</v>
      </c>
      <c r="CR15" s="0" t="n">
        <v>0</v>
      </c>
      <c r="DF15" s="0" t="n">
        <v>0</v>
      </c>
      <c r="DU15" s="0" t="n">
        <v>0</v>
      </c>
      <c r="EK15" s="0" t="n">
        <v>0</v>
      </c>
      <c r="FB15" s="0" t="n">
        <v>0</v>
      </c>
      <c r="FT15" s="0" t="n">
        <v>0</v>
      </c>
      <c r="GM15" s="0" t="n">
        <v>0</v>
      </c>
      <c r="HG15" s="0" t="n">
        <v>0</v>
      </c>
      <c r="IB15" s="0" t="n">
        <v>0</v>
      </c>
      <c r="IX15" s="0" t="n">
        <v>0</v>
      </c>
      <c r="JU15" s="0" t="n">
        <v>0</v>
      </c>
      <c r="KS15" s="0" t="n">
        <v>0</v>
      </c>
    </row>
    <row r="16" customFormat="false" ht="15" hidden="false" customHeight="false" outlineLevel="0" collapsed="false">
      <c r="A16" s="0" t="s">
        <v>501</v>
      </c>
      <c r="B16" s="0" t="n">
        <v>1.045</v>
      </c>
      <c r="D16" s="277"/>
      <c r="E16" s="282" t="s">
        <v>497</v>
      </c>
      <c r="F16" s="283" t="n">
        <v>5.219</v>
      </c>
      <c r="G16" s="284" t="n">
        <v>4.928</v>
      </c>
      <c r="H16" s="283" t="n">
        <v>4.966</v>
      </c>
      <c r="I16" s="284" t="n">
        <v>0</v>
      </c>
      <c r="J16" s="283" t="n">
        <v>5.22</v>
      </c>
      <c r="K16" s="284" t="n">
        <v>0.176</v>
      </c>
      <c r="L16" s="283" t="n">
        <v>5.321</v>
      </c>
      <c r="M16" s="284" t="n">
        <v>4.419</v>
      </c>
      <c r="N16" s="283" t="n">
        <v>0</v>
      </c>
      <c r="O16" s="284" t="n">
        <v>4.61</v>
      </c>
      <c r="P16" s="283" t="n">
        <v>4.234</v>
      </c>
      <c r="Q16" s="284" t="n">
        <v>0.417</v>
      </c>
      <c r="R16" s="283" t="n">
        <v>0</v>
      </c>
      <c r="S16" s="284" t="n">
        <v>4.05</v>
      </c>
      <c r="T16" s="283" t="n">
        <v>0</v>
      </c>
      <c r="U16" s="284" t="n">
        <v>4.867</v>
      </c>
      <c r="V16" s="283" t="n">
        <v>6.052</v>
      </c>
      <c r="W16" s="284" t="n">
        <v>0</v>
      </c>
      <c r="X16" s="283" t="n">
        <v>0</v>
      </c>
      <c r="Y16" s="284" t="n">
        <v>0</v>
      </c>
      <c r="Z16" s="283" t="n">
        <v>6.278</v>
      </c>
      <c r="AA16" s="284" t="n">
        <v>5.117</v>
      </c>
      <c r="AB16" s="283" t="n">
        <v>4.964</v>
      </c>
      <c r="AC16" s="284" t="n">
        <v>0</v>
      </c>
      <c r="AD16" s="0" t="n">
        <f aca="false">F16</f>
        <v>5.219</v>
      </c>
      <c r="AE16" s="0" t="n">
        <f aca="false">G16</f>
        <v>4.928</v>
      </c>
      <c r="AF16" s="0" t="n">
        <f aca="false">H16</f>
        <v>4.966</v>
      </c>
      <c r="AG16" s="0" t="n">
        <f aca="false">I16</f>
        <v>0</v>
      </c>
      <c r="AH16" s="0" t="n">
        <f aca="false">J16</f>
        <v>5.22</v>
      </c>
      <c r="AI16" s="0" t="n">
        <f aca="false">K16</f>
        <v>0.176</v>
      </c>
      <c r="AJ16" s="0" t="n">
        <f aca="false">L16</f>
        <v>5.321</v>
      </c>
      <c r="AK16" s="0" t="n">
        <f aca="false">M16</f>
        <v>4.419</v>
      </c>
      <c r="AL16" s="0" t="n">
        <f aca="false">N16</f>
        <v>0</v>
      </c>
      <c r="AM16" s="0" t="n">
        <f aca="false">O16</f>
        <v>4.61</v>
      </c>
      <c r="AN16" s="0" t="n">
        <f aca="false">P16</f>
        <v>4.234</v>
      </c>
      <c r="AO16" s="0" t="n">
        <f aca="false">Q16</f>
        <v>0.417</v>
      </c>
      <c r="AP16" s="0" t="n">
        <f aca="false">R16</f>
        <v>0</v>
      </c>
      <c r="AQ16" s="0" t="n">
        <f aca="false">S16</f>
        <v>4.05</v>
      </c>
      <c r="AR16" s="0" t="n">
        <f aca="false">T16</f>
        <v>0</v>
      </c>
      <c r="AS16" s="0" t="n">
        <f aca="false">U16</f>
        <v>4.867</v>
      </c>
      <c r="AT16" s="0" t="n">
        <f aca="false">V16</f>
        <v>6.052</v>
      </c>
      <c r="AU16" s="0" t="n">
        <f aca="false">W16</f>
        <v>0</v>
      </c>
      <c r="AV16" s="0" t="n">
        <f aca="false">X16</f>
        <v>0</v>
      </c>
      <c r="AW16" s="0" t="n">
        <f aca="false">Y16</f>
        <v>0</v>
      </c>
      <c r="AX16" s="0" t="n">
        <f aca="false">Z16</f>
        <v>6.278</v>
      </c>
      <c r="AY16" s="0" t="n">
        <f aca="false">AA16</f>
        <v>5.117</v>
      </c>
      <c r="AZ16" s="0" t="n">
        <f aca="false">AB16</f>
        <v>4.964</v>
      </c>
      <c r="BA16" s="0" t="n">
        <f aca="false">AC16</f>
        <v>0</v>
      </c>
    </row>
    <row r="17" customFormat="false" ht="15" hidden="false" customHeight="false" outlineLevel="0" collapsed="false">
      <c r="A17" s="0" t="s">
        <v>502</v>
      </c>
      <c r="B17" s="0" t="n">
        <v>0.885</v>
      </c>
      <c r="D17" s="277" t="s">
        <v>503</v>
      </c>
      <c r="E17" s="278" t="s">
        <v>494</v>
      </c>
      <c r="F17" s="247" t="n">
        <v>0</v>
      </c>
      <c r="G17" s="61" t="n">
        <v>0</v>
      </c>
      <c r="H17" s="247" t="n">
        <v>0</v>
      </c>
      <c r="I17" s="61" t="n">
        <v>-1.16666666666667E-005</v>
      </c>
      <c r="J17" s="247" t="n">
        <v>0</v>
      </c>
      <c r="K17" s="61" t="n">
        <v>-1.18713450292398E-005</v>
      </c>
      <c r="L17" s="247" t="n">
        <v>-1.94444444444444E-005</v>
      </c>
      <c r="M17" s="61" t="n">
        <v>-1.71929824561403E-005</v>
      </c>
      <c r="N17" s="247" t="n">
        <v>-4.33918128654971E-005</v>
      </c>
      <c r="O17" s="61" t="n">
        <v>0</v>
      </c>
      <c r="P17" s="247" t="n">
        <v>-2.57894736842105E-005</v>
      </c>
      <c r="Q17" s="61" t="n">
        <v>-1.47368421052632E-005</v>
      </c>
      <c r="R17" s="247" t="n">
        <v>0</v>
      </c>
      <c r="S17" s="61" t="n">
        <v>-1.78070175438596E-005</v>
      </c>
      <c r="T17" s="247" t="n">
        <v>0</v>
      </c>
      <c r="U17" s="61" t="n">
        <v>-2.04678362573099E-005</v>
      </c>
      <c r="V17" s="247" t="n">
        <v>-2.72222222222222E-005</v>
      </c>
      <c r="W17" s="61" t="n">
        <v>-2.72222222222222E-005</v>
      </c>
      <c r="X17" s="247" t="n">
        <v>0</v>
      </c>
      <c r="Y17" s="61" t="n">
        <v>-1.96491228070175E-005</v>
      </c>
      <c r="Z17" s="247" t="n">
        <v>0</v>
      </c>
      <c r="AA17" s="61" t="n">
        <v>0</v>
      </c>
      <c r="AB17" s="247" t="n">
        <v>0</v>
      </c>
      <c r="AC17" s="61" t="n">
        <v>0</v>
      </c>
      <c r="AD17" s="0" t="n">
        <f aca="false">F17/34200</f>
        <v>0</v>
      </c>
      <c r="AE17" s="0" t="n">
        <f aca="false">G17/34200</f>
        <v>0</v>
      </c>
      <c r="AF17" s="0" t="n">
        <f aca="false">H17/34200</f>
        <v>0</v>
      </c>
      <c r="AG17" s="0" t="n">
        <f aca="false">I17/34200</f>
        <v>-3.411306042885E-010</v>
      </c>
      <c r="AH17" s="0" t="n">
        <v>0</v>
      </c>
      <c r="AI17" s="0" t="n">
        <f aca="false">K17/34200</f>
        <v>-3.47115351732158E-010</v>
      </c>
      <c r="AJ17" s="0" t="n">
        <f aca="false">L17/34200</f>
        <v>-5.68551007147497E-010</v>
      </c>
      <c r="AK17" s="0" t="n">
        <f aca="false">M17/34200</f>
        <v>-5.0271878526726E-010</v>
      </c>
      <c r="AL17" s="0" t="n">
        <f aca="false">N17/34200</f>
        <v>-1.26876645805547E-009</v>
      </c>
      <c r="AM17" s="0" t="n">
        <f aca="false">O17/34200</f>
        <v>0</v>
      </c>
      <c r="AN17" s="0" t="n">
        <f aca="false">P17/34200</f>
        <v>-7.54078177900892E-010</v>
      </c>
      <c r="AO17" s="0" t="n">
        <f aca="false">Q17/34200</f>
        <v>-4.30901815943368E-010</v>
      </c>
      <c r="AP17" s="0" t="n">
        <v>0</v>
      </c>
      <c r="AQ17" s="0" t="n">
        <f aca="false">S17/34200</f>
        <v>-5.20673027598234E-010</v>
      </c>
      <c r="AR17" s="0" t="n">
        <f aca="false">T17/34200</f>
        <v>0</v>
      </c>
      <c r="AS17" s="0" t="n">
        <f aca="false">U17/34200</f>
        <v>-5.98474744365787E-010</v>
      </c>
      <c r="AT17" s="0" t="n">
        <f aca="false">V17/34200</f>
        <v>-7.95971410006497E-010</v>
      </c>
      <c r="AU17" s="0" t="n">
        <f aca="false">W17/34200</f>
        <v>-7.95971410006497E-010</v>
      </c>
      <c r="AV17" s="0" t="n">
        <f aca="false">X17/34200</f>
        <v>0</v>
      </c>
      <c r="AW17" s="0" t="n">
        <f aca="false">Y17/34200</f>
        <v>-5.74535754591155E-010</v>
      </c>
      <c r="AX17" s="0" t="n">
        <f aca="false">Z17/34200</f>
        <v>0</v>
      </c>
      <c r="AY17" s="0" t="n">
        <v>0</v>
      </c>
      <c r="AZ17" s="0" t="n">
        <f aca="false">AB17/34200</f>
        <v>0</v>
      </c>
      <c r="BA17" s="0" t="n">
        <f aca="false">AC17/34200</f>
        <v>0</v>
      </c>
      <c r="BI17" s="0" t="n">
        <v>0</v>
      </c>
      <c r="BT17" s="0" t="n">
        <v>0</v>
      </c>
      <c r="CF17" s="0" t="n">
        <v>0</v>
      </c>
      <c r="CS17" s="0" t="n">
        <v>0</v>
      </c>
      <c r="DG17" s="0" t="n">
        <v>0</v>
      </c>
      <c r="DV17" s="0" t="n">
        <v>0</v>
      </c>
      <c r="EL17" s="0" t="n">
        <v>0</v>
      </c>
      <c r="FC17" s="0" t="n">
        <v>0</v>
      </c>
      <c r="FU17" s="0" t="n">
        <v>0</v>
      </c>
      <c r="GN17" s="0" t="n">
        <v>0</v>
      </c>
      <c r="HH17" s="0" t="n">
        <v>0</v>
      </c>
      <c r="IC17" s="0" t="n">
        <v>0</v>
      </c>
      <c r="IY17" s="0" t="n">
        <v>0</v>
      </c>
      <c r="JV17" s="0" t="n">
        <v>0</v>
      </c>
    </row>
    <row r="18" customFormat="false" ht="15" hidden="false" customHeight="false" outlineLevel="0" collapsed="false">
      <c r="D18" s="277"/>
      <c r="E18" s="279" t="s">
        <v>495</v>
      </c>
      <c r="F18" s="281" t="n">
        <v>0</v>
      </c>
      <c r="G18" s="280" t="n">
        <v>0</v>
      </c>
      <c r="H18" s="281" t="n">
        <v>-2.08771929824561E-005</v>
      </c>
      <c r="I18" s="280" t="n">
        <v>-2.10818713450292E-005</v>
      </c>
      <c r="J18" s="281" t="n">
        <v>-2.68116685475873E-009</v>
      </c>
      <c r="K18" s="280" t="n">
        <v>-1.84210526315789E-005</v>
      </c>
      <c r="L18" s="281" t="n">
        <v>0</v>
      </c>
      <c r="M18" s="280" t="n">
        <v>-5.73099415204678E-006</v>
      </c>
      <c r="N18" s="281" t="n">
        <v>0</v>
      </c>
      <c r="O18" s="280" t="n">
        <v>-1.39181286549708E-005</v>
      </c>
      <c r="P18" s="281" t="n">
        <v>0</v>
      </c>
      <c r="Q18" s="280" t="n">
        <v>0</v>
      </c>
      <c r="R18" s="281" t="n">
        <v>0</v>
      </c>
      <c r="S18" s="280" t="n">
        <v>0</v>
      </c>
      <c r="T18" s="281" t="n">
        <v>-2.76315789473684E-005</v>
      </c>
      <c r="U18" s="280" t="n">
        <v>0</v>
      </c>
      <c r="V18" s="281" t="n">
        <v>0</v>
      </c>
      <c r="W18" s="280" t="n">
        <v>0</v>
      </c>
      <c r="X18" s="281" t="n">
        <v>-2.90643274853801E-005</v>
      </c>
      <c r="Y18" s="280" t="n">
        <v>0</v>
      </c>
      <c r="Z18" s="281" t="n">
        <v>0</v>
      </c>
      <c r="AA18" s="280" t="n">
        <v>0</v>
      </c>
      <c r="AB18" s="281" t="n">
        <v>-1.30994152046784E-005</v>
      </c>
      <c r="AC18" s="280" t="n">
        <v>-1.14619883040936E-005</v>
      </c>
      <c r="AD18" s="0" t="n">
        <f aca="false">F18/34200</f>
        <v>0</v>
      </c>
      <c r="AE18" s="0" t="n">
        <f aca="false">G18/34200</f>
        <v>0</v>
      </c>
      <c r="AF18" s="0" t="n">
        <f aca="false">H18/34200</f>
        <v>-6.10444239253102E-010</v>
      </c>
      <c r="AG18" s="0" t="n">
        <f aca="false">I18/34200</f>
        <v>-6.1642898669676E-010</v>
      </c>
      <c r="AH18" s="0" t="n">
        <v>-3.83023836394104E-010</v>
      </c>
      <c r="AI18" s="0" t="n">
        <f aca="false">K18/34200</f>
        <v>-5.38627269929208E-010</v>
      </c>
      <c r="AJ18" s="0" t="n">
        <f aca="false">L18/34200</f>
        <v>0</v>
      </c>
      <c r="AK18" s="0" t="n">
        <f aca="false">M18/34200</f>
        <v>-1.6757292842242E-010</v>
      </c>
      <c r="AL18" s="0" t="n">
        <f aca="false">N18/34200</f>
        <v>0</v>
      </c>
      <c r="AM18" s="0" t="n">
        <f aca="false">O18/34200</f>
        <v>-4.06962826168737E-010</v>
      </c>
      <c r="AN18" s="0" t="n">
        <f aca="false">P18/34200</f>
        <v>0</v>
      </c>
      <c r="AO18" s="0" t="n">
        <f aca="false">Q18/34200</f>
        <v>0</v>
      </c>
      <c r="AP18" s="0" t="n">
        <v>0</v>
      </c>
      <c r="AQ18" s="0" t="n">
        <f aca="false">S18/34200</f>
        <v>0</v>
      </c>
      <c r="AR18" s="0" t="n">
        <f aca="false">T18/34200</f>
        <v>-8.07940904893813E-010</v>
      </c>
      <c r="AS18" s="0" t="n">
        <f aca="false">U18/34200</f>
        <v>0</v>
      </c>
      <c r="AT18" s="0" t="n">
        <f aca="false">V18/34200</f>
        <v>0</v>
      </c>
      <c r="AU18" s="0" t="n">
        <f aca="false">W18/34200</f>
        <v>0</v>
      </c>
      <c r="AV18" s="0" t="n">
        <f aca="false">X18/34200</f>
        <v>-8.49834136999418E-010</v>
      </c>
      <c r="AW18" s="0" t="n">
        <f aca="false">Y18/34200</f>
        <v>0</v>
      </c>
      <c r="AX18" s="0" t="n">
        <f aca="false">Z18/34200</f>
        <v>0</v>
      </c>
      <c r="AY18" s="0" t="n">
        <v>0</v>
      </c>
      <c r="AZ18" s="0" t="n">
        <f aca="false">AB18/34200</f>
        <v>-3.83023836394105E-010</v>
      </c>
      <c r="BA18" s="0" t="n">
        <f aca="false">AC18/34200</f>
        <v>-3.35145856844842E-010</v>
      </c>
      <c r="BI18" s="0" t="n">
        <v>0</v>
      </c>
      <c r="BT18" s="0" t="n">
        <v>0</v>
      </c>
      <c r="CF18" s="0" t="n">
        <v>0</v>
      </c>
      <c r="CS18" s="0" t="n">
        <v>0</v>
      </c>
      <c r="DG18" s="0" t="n">
        <v>0</v>
      </c>
      <c r="DV18" s="0" t="n">
        <v>0</v>
      </c>
      <c r="EL18" s="0" t="n">
        <v>0</v>
      </c>
      <c r="FC18" s="0" t="n">
        <v>0</v>
      </c>
      <c r="FU18" s="0" t="n">
        <v>0</v>
      </c>
      <c r="GN18" s="0" t="n">
        <v>0</v>
      </c>
      <c r="HH18" s="0" t="n">
        <v>0</v>
      </c>
      <c r="IC18" s="0" t="n">
        <v>0</v>
      </c>
      <c r="IY18" s="0" t="n">
        <v>0</v>
      </c>
      <c r="JV18" s="0" t="n">
        <v>0</v>
      </c>
    </row>
    <row r="19" customFormat="false" ht="15" hidden="false" customHeight="false" outlineLevel="0" collapsed="false">
      <c r="D19" s="277"/>
      <c r="E19" s="279" t="s">
        <v>496</v>
      </c>
      <c r="F19" s="281" t="n">
        <v>0</v>
      </c>
      <c r="G19" s="280" t="n">
        <v>0.985412063333333</v>
      </c>
      <c r="H19" s="281" t="n">
        <v>0.980437879166666</v>
      </c>
      <c r="I19" s="280" t="n">
        <v>1.05374164583333</v>
      </c>
      <c r="J19" s="281" t="n">
        <v>0.412595486666667</v>
      </c>
      <c r="K19" s="280" t="n">
        <v>1.0390808925</v>
      </c>
      <c r="L19" s="281" t="n">
        <v>0</v>
      </c>
      <c r="M19" s="280" t="n">
        <v>0.956090556666667</v>
      </c>
      <c r="N19" s="281" t="n">
        <v>1.19485139666667</v>
      </c>
      <c r="O19" s="280" t="n">
        <v>1.05374164583333</v>
      </c>
      <c r="P19" s="281" t="n">
        <v>0</v>
      </c>
      <c r="Q19" s="280" t="n">
        <v>1.10453068416667</v>
      </c>
      <c r="R19" s="281" t="n">
        <v>0</v>
      </c>
      <c r="S19" s="280" t="n">
        <v>0.985412063333333</v>
      </c>
      <c r="T19" s="281" t="n">
        <v>0.980437879166666</v>
      </c>
      <c r="U19" s="280" t="n">
        <v>1.05374164583333</v>
      </c>
      <c r="V19" s="281" t="n">
        <v>0.412595486666667</v>
      </c>
      <c r="W19" s="280" t="n">
        <v>1.0390808925</v>
      </c>
      <c r="X19" s="281" t="n">
        <v>0</v>
      </c>
      <c r="Y19" s="280" t="n">
        <v>0.956090556666667</v>
      </c>
      <c r="Z19" s="281" t="n">
        <v>1.19485139666667</v>
      </c>
      <c r="AA19" s="280" t="n">
        <v>1.05374164583333</v>
      </c>
      <c r="AB19" s="281" t="n">
        <v>0</v>
      </c>
      <c r="AC19" s="280" t="n">
        <v>1.10453068416667</v>
      </c>
      <c r="AD19" s="0" t="n">
        <v>0</v>
      </c>
      <c r="AE19" s="0" t="n">
        <f aca="false">G19</f>
        <v>0.985412063333333</v>
      </c>
      <c r="AF19" s="0" t="n">
        <v>3.764</v>
      </c>
      <c r="AG19" s="0" t="n">
        <v>0.415737076666667</v>
      </c>
      <c r="AH19" s="0" t="n">
        <v>3.745</v>
      </c>
      <c r="AI19" s="0" t="n">
        <f aca="false">K19</f>
        <v>1.0390808925</v>
      </c>
      <c r="AJ19" s="0" t="n">
        <v>4.025</v>
      </c>
      <c r="AK19" s="0" t="n">
        <f aca="false">M19</f>
        <v>0.956090556666667</v>
      </c>
      <c r="AL19" s="0" t="n">
        <v>1.576</v>
      </c>
      <c r="AM19" s="0" t="n">
        <f aca="false">O19</f>
        <v>1.05374164583333</v>
      </c>
      <c r="AN19" s="0" t="n">
        <v>3.969</v>
      </c>
      <c r="AO19" s="0" t="n">
        <v>0.999549218333333</v>
      </c>
      <c r="AP19" s="0" t="n">
        <v>0</v>
      </c>
      <c r="AQ19" s="0" t="n">
        <f aca="false">S19</f>
        <v>0.985412063333333</v>
      </c>
      <c r="AR19" s="0" t="n">
        <v>3.652</v>
      </c>
      <c r="AS19" s="0" t="n">
        <f aca="false">U19</f>
        <v>1.05374164583333</v>
      </c>
      <c r="AT19" s="0" t="n">
        <v>4.564</v>
      </c>
      <c r="AU19" s="0" t="n">
        <f aca="false">W19</f>
        <v>1.0390808925</v>
      </c>
      <c r="AV19" s="0" t="n">
        <v>4.025</v>
      </c>
      <c r="AW19" s="0" t="n">
        <f aca="false">Y19</f>
        <v>0.956090556666667</v>
      </c>
      <c r="AX19" s="0" t="n">
        <v>0</v>
      </c>
      <c r="AY19" s="0" t="n">
        <f aca="false">AA19</f>
        <v>1.05374164583333</v>
      </c>
      <c r="AZ19" s="0" t="n">
        <v>4.219</v>
      </c>
      <c r="BA19" s="0" t="n">
        <f aca="false">AC19</f>
        <v>1.10453068416667</v>
      </c>
      <c r="BH19" s="0" t="n">
        <v>0</v>
      </c>
      <c r="BS19" s="0" t="n">
        <v>0</v>
      </c>
      <c r="CE19" s="0" t="n">
        <v>0</v>
      </c>
      <c r="CR19" s="0" t="n">
        <v>0</v>
      </c>
      <c r="DF19" s="0" t="n">
        <v>0</v>
      </c>
      <c r="DU19" s="0" t="n">
        <v>0</v>
      </c>
      <c r="EK19" s="0" t="n">
        <v>0</v>
      </c>
      <c r="FB19" s="0" t="n">
        <v>0</v>
      </c>
      <c r="FT19" s="0" t="n">
        <v>0</v>
      </c>
      <c r="GM19" s="0" t="n">
        <v>0</v>
      </c>
      <c r="HG19" s="0" t="n">
        <v>0</v>
      </c>
      <c r="IB19" s="0" t="n">
        <v>0</v>
      </c>
      <c r="IX19" s="0" t="n">
        <v>0</v>
      </c>
      <c r="JU19" s="0" t="n">
        <v>0</v>
      </c>
      <c r="KS19" s="0" t="n">
        <v>0</v>
      </c>
    </row>
    <row r="20" customFormat="false" ht="15" hidden="false" customHeight="false" outlineLevel="0" collapsed="false">
      <c r="D20" s="277"/>
      <c r="E20" s="282" t="s">
        <v>497</v>
      </c>
      <c r="F20" s="283" t="n">
        <v>0</v>
      </c>
      <c r="G20" s="284" t="n">
        <v>0</v>
      </c>
      <c r="H20" s="283" t="n">
        <v>3.207</v>
      </c>
      <c r="I20" s="284" t="n">
        <v>0.91</v>
      </c>
      <c r="J20" s="283" t="n">
        <v>2.395</v>
      </c>
      <c r="K20" s="284" t="n">
        <v>0.471</v>
      </c>
      <c r="L20" s="283" t="n">
        <v>2.102</v>
      </c>
      <c r="M20" s="284" t="n">
        <v>4.673</v>
      </c>
      <c r="N20" s="283" t="n">
        <v>1.306</v>
      </c>
      <c r="O20" s="284" t="n">
        <v>5.026</v>
      </c>
      <c r="P20" s="283" t="n">
        <v>2.236</v>
      </c>
      <c r="Q20" s="284" t="n">
        <v>2.289</v>
      </c>
      <c r="R20" s="283" t="n">
        <v>0</v>
      </c>
      <c r="S20" s="284" t="n">
        <v>2.725</v>
      </c>
      <c r="T20" s="283" t="n">
        <v>1.559</v>
      </c>
      <c r="U20" s="284" t="n">
        <v>2.522</v>
      </c>
      <c r="V20" s="283" t="n">
        <v>0</v>
      </c>
      <c r="W20" s="284" t="n">
        <v>5.016</v>
      </c>
      <c r="X20" s="283" t="n">
        <v>1.387</v>
      </c>
      <c r="Y20" s="284" t="n">
        <v>0.788</v>
      </c>
      <c r="Z20" s="283" t="n">
        <v>0</v>
      </c>
      <c r="AA20" s="284" t="n">
        <v>0</v>
      </c>
      <c r="AB20" s="283" t="n">
        <v>1.56</v>
      </c>
      <c r="AC20" s="284" t="n">
        <v>4.842</v>
      </c>
      <c r="AD20" s="0" t="n">
        <f aca="false">F20</f>
        <v>0</v>
      </c>
      <c r="AE20" s="0" t="n">
        <f aca="false">G20</f>
        <v>0</v>
      </c>
      <c r="AF20" s="0" t="n">
        <f aca="false">H20</f>
        <v>3.207</v>
      </c>
      <c r="AG20" s="0" t="n">
        <f aca="false">I20</f>
        <v>0.91</v>
      </c>
      <c r="AH20" s="0" t="n">
        <f aca="false">J20</f>
        <v>2.395</v>
      </c>
      <c r="AI20" s="0" t="n">
        <f aca="false">K20</f>
        <v>0.471</v>
      </c>
      <c r="AJ20" s="0" t="n">
        <f aca="false">L20</f>
        <v>2.102</v>
      </c>
      <c r="AK20" s="0" t="n">
        <f aca="false">M20</f>
        <v>4.673</v>
      </c>
      <c r="AL20" s="0" t="n">
        <f aca="false">N20</f>
        <v>1.306</v>
      </c>
      <c r="AM20" s="0" t="n">
        <f aca="false">O20</f>
        <v>5.026</v>
      </c>
      <c r="AN20" s="0" t="n">
        <f aca="false">P20</f>
        <v>2.236</v>
      </c>
      <c r="AO20" s="0" t="n">
        <f aca="false">Q20</f>
        <v>2.289</v>
      </c>
      <c r="AP20" s="0" t="n">
        <f aca="false">R20</f>
        <v>0</v>
      </c>
      <c r="AQ20" s="0" t="n">
        <f aca="false">S20</f>
        <v>2.725</v>
      </c>
      <c r="AR20" s="0" t="n">
        <f aca="false">T20</f>
        <v>1.559</v>
      </c>
      <c r="AS20" s="0" t="n">
        <f aca="false">U20</f>
        <v>2.522</v>
      </c>
      <c r="AT20" s="0" t="n">
        <f aca="false">V20</f>
        <v>0</v>
      </c>
      <c r="AU20" s="0" t="n">
        <f aca="false">W20</f>
        <v>5.016</v>
      </c>
      <c r="AV20" s="0" t="n">
        <f aca="false">X20</f>
        <v>1.387</v>
      </c>
      <c r="AW20" s="0" t="n">
        <f aca="false">Y20</f>
        <v>0.788</v>
      </c>
      <c r="AX20" s="0" t="n">
        <f aca="false">Z20</f>
        <v>0</v>
      </c>
      <c r="AY20" s="0" t="n">
        <f aca="false">AA20</f>
        <v>0</v>
      </c>
      <c r="AZ20" s="0" t="n">
        <f aca="false">AB20</f>
        <v>1.56</v>
      </c>
      <c r="BA20" s="0" t="n">
        <f aca="false">AC20</f>
        <v>4.842</v>
      </c>
    </row>
    <row r="21" customFormat="false" ht="15" hidden="false" customHeight="false" outlineLevel="0" collapsed="false">
      <c r="D21" s="277" t="s">
        <v>504</v>
      </c>
      <c r="E21" s="278" t="s">
        <v>494</v>
      </c>
      <c r="F21" s="247" t="n">
        <v>-7.36842105263158E-006</v>
      </c>
      <c r="G21" s="61" t="n">
        <v>0</v>
      </c>
      <c r="H21" s="247" t="n">
        <v>-2.78362573099415E-005</v>
      </c>
      <c r="I21" s="61" t="n">
        <v>0</v>
      </c>
      <c r="J21" s="247" t="n">
        <v>-4.18932321056052E-009</v>
      </c>
      <c r="K21" s="61" t="n">
        <v>-1.8625730994152E-005</v>
      </c>
      <c r="L21" s="247" t="n">
        <v>0</v>
      </c>
      <c r="M21" s="61" t="n">
        <v>0</v>
      </c>
      <c r="N21" s="247" t="n">
        <v>-1.49415204678363E-005</v>
      </c>
      <c r="O21" s="61" t="n">
        <v>-1.57602339181287E-005</v>
      </c>
      <c r="P21" s="247" t="n">
        <v>-2.21052631578947E-005</v>
      </c>
      <c r="Q21" s="61" t="n">
        <v>0</v>
      </c>
      <c r="R21" s="247" t="n">
        <v>0</v>
      </c>
      <c r="S21" s="61" t="n">
        <v>0</v>
      </c>
      <c r="T21" s="247" t="n">
        <v>0</v>
      </c>
      <c r="U21" s="61" t="n">
        <v>0</v>
      </c>
      <c r="V21" s="247" t="n">
        <v>-2.61988304093567E-005</v>
      </c>
      <c r="W21" s="61" t="n">
        <v>-1.98538011695906E-005</v>
      </c>
      <c r="X21" s="247" t="n">
        <v>-5.32163742690059E-006</v>
      </c>
      <c r="Y21" s="61" t="n">
        <v>-4.09356725146199E-007</v>
      </c>
      <c r="Z21" s="247" t="n">
        <v>-1.98538011695906E-005</v>
      </c>
      <c r="AA21" s="61" t="n">
        <v>0</v>
      </c>
      <c r="AB21" s="247" t="n">
        <v>0</v>
      </c>
      <c r="AC21" s="61" t="n">
        <v>-3.21345029239766E-005</v>
      </c>
      <c r="AD21" s="0" t="n">
        <f aca="false">F21/34200</f>
        <v>-2.15450907971684E-010</v>
      </c>
      <c r="AE21" s="0" t="n">
        <f aca="false">G21/34200</f>
        <v>0</v>
      </c>
      <c r="AF21" s="0" t="n">
        <f aca="false">H21/34200</f>
        <v>-8.13925652337471E-010</v>
      </c>
      <c r="AG21" s="0" t="n">
        <f aca="false">I21/34200</f>
        <v>0</v>
      </c>
      <c r="AH21" s="0" t="n">
        <v>-5.98474744365788E-010</v>
      </c>
      <c r="AI21" s="0" t="n">
        <f aca="false">K21/34200</f>
        <v>-5.44612017372866E-010</v>
      </c>
      <c r="AJ21" s="0" t="n">
        <f aca="false">L21/34200</f>
        <v>0</v>
      </c>
      <c r="AK21" s="0" t="n">
        <f aca="false">M21/34200</f>
        <v>0</v>
      </c>
      <c r="AL21" s="0" t="n">
        <f aca="false">N21/34200</f>
        <v>-4.36886563387026E-010</v>
      </c>
      <c r="AM21" s="0" t="n">
        <f aca="false">O21/34200</f>
        <v>-4.60825553161658E-010</v>
      </c>
      <c r="AN21" s="0" t="n">
        <f aca="false">P21/34200</f>
        <v>-6.4635272391505E-010</v>
      </c>
      <c r="AO21" s="0" t="n">
        <f aca="false">Q21/34200</f>
        <v>0</v>
      </c>
      <c r="AP21" s="0" t="n">
        <v>0</v>
      </c>
      <c r="AQ21" s="0" t="n">
        <f aca="false">S21/34200</f>
        <v>0</v>
      </c>
      <c r="AR21" s="0" t="n">
        <f aca="false">T21/34200</f>
        <v>0</v>
      </c>
      <c r="AS21" s="0" t="n">
        <f aca="false">U21/34200</f>
        <v>0</v>
      </c>
      <c r="AT21" s="0" t="n">
        <f aca="false">V21/34200</f>
        <v>-7.66047672788208E-010</v>
      </c>
      <c r="AU21" s="0" t="n">
        <f aca="false">W21/34200</f>
        <v>-5.80520502034813E-010</v>
      </c>
      <c r="AV21" s="0" t="n">
        <f aca="false">X21/34200</f>
        <v>-1.55603433535105E-010</v>
      </c>
      <c r="AW21" s="0" t="n">
        <f aca="false">Y21/34200</f>
        <v>-1.19694948873158E-011</v>
      </c>
      <c r="AX21" s="0" t="n">
        <f aca="false">Z21/34200</f>
        <v>-5.80520502034813E-010</v>
      </c>
      <c r="AY21" s="0" t="n">
        <v>0</v>
      </c>
      <c r="AZ21" s="0" t="n">
        <f aca="false">AB21/34200</f>
        <v>0</v>
      </c>
      <c r="BA21" s="0" t="n">
        <f aca="false">AC21/34200</f>
        <v>-9.39605348654287E-010</v>
      </c>
      <c r="BI21" s="0" t="n">
        <v>0</v>
      </c>
      <c r="BT21" s="0" t="n">
        <v>0</v>
      </c>
      <c r="CF21" s="0" t="n">
        <v>0</v>
      </c>
      <c r="CS21" s="0" t="n">
        <v>0</v>
      </c>
      <c r="DG21" s="0" t="n">
        <v>0</v>
      </c>
      <c r="DV21" s="0" t="n">
        <v>0</v>
      </c>
      <c r="EL21" s="0" t="n">
        <v>0</v>
      </c>
      <c r="FC21" s="0" t="n">
        <v>0</v>
      </c>
      <c r="FU21" s="0" t="n">
        <v>0</v>
      </c>
      <c r="GN21" s="0" t="n">
        <v>0</v>
      </c>
      <c r="HH21" s="0" t="n">
        <v>0</v>
      </c>
      <c r="IC21" s="0" t="n">
        <v>0</v>
      </c>
      <c r="IY21" s="0" t="n">
        <v>0</v>
      </c>
      <c r="JV21" s="0" t="n">
        <v>0</v>
      </c>
    </row>
    <row r="22" customFormat="false" ht="15" hidden="false" customHeight="false" outlineLevel="0" collapsed="false">
      <c r="D22" s="277"/>
      <c r="E22" s="279" t="s">
        <v>495</v>
      </c>
      <c r="F22" s="281" t="n">
        <v>-6.34502923976608E-006</v>
      </c>
      <c r="G22" s="280" t="n">
        <v>-1.51461988304094E-005</v>
      </c>
      <c r="H22" s="281" t="n">
        <v>0</v>
      </c>
      <c r="I22" s="280" t="n">
        <v>0</v>
      </c>
      <c r="J22" s="281" t="n">
        <v>0</v>
      </c>
      <c r="K22" s="280" t="n">
        <v>0</v>
      </c>
      <c r="L22" s="281" t="n">
        <v>-9.41520467836257E-006</v>
      </c>
      <c r="M22" s="280" t="n">
        <v>0</v>
      </c>
      <c r="N22" s="281" t="n">
        <v>-2.72222222222222E-005</v>
      </c>
      <c r="O22" s="280" t="n">
        <v>0</v>
      </c>
      <c r="P22" s="281" t="n">
        <v>0</v>
      </c>
      <c r="Q22" s="280" t="n">
        <v>0</v>
      </c>
      <c r="R22" s="281" t="n">
        <v>0</v>
      </c>
      <c r="S22" s="280" t="n">
        <v>-1.26900584795322E-005</v>
      </c>
      <c r="T22" s="281" t="n">
        <v>-1.39181286549708E-005</v>
      </c>
      <c r="U22" s="280" t="n">
        <v>-8.39181286549708E-006</v>
      </c>
      <c r="V22" s="281" t="n">
        <v>0</v>
      </c>
      <c r="W22" s="280" t="n">
        <v>0</v>
      </c>
      <c r="X22" s="281" t="n">
        <v>-1.69883040935673E-005</v>
      </c>
      <c r="Y22" s="280" t="n">
        <v>-1.06432748538012E-005</v>
      </c>
      <c r="Z22" s="281" t="n">
        <v>0</v>
      </c>
      <c r="AA22" s="280" t="n">
        <v>-1.78884101090934E-008</v>
      </c>
      <c r="AB22" s="281" t="n">
        <v>-7.16374269005848E-006</v>
      </c>
      <c r="AC22" s="280" t="n">
        <v>0</v>
      </c>
      <c r="AD22" s="0" t="n">
        <f aca="false">F22/34200</f>
        <v>-1.85527170753394E-010</v>
      </c>
      <c r="AE22" s="0" t="n">
        <f aca="false">G22/34200</f>
        <v>-4.42871310830684E-010</v>
      </c>
      <c r="AF22" s="0" t="n">
        <f aca="false">H22/34200</f>
        <v>0</v>
      </c>
      <c r="AG22" s="0" t="n">
        <f aca="false">I22/34200</f>
        <v>0</v>
      </c>
      <c r="AH22" s="0" t="n">
        <v>0</v>
      </c>
      <c r="AI22" s="0" t="n">
        <f aca="false">K22/34200</f>
        <v>0</v>
      </c>
      <c r="AJ22" s="0" t="n">
        <f aca="false">L22/34200</f>
        <v>-2.75298382408262E-010</v>
      </c>
      <c r="AK22" s="0" t="n">
        <f aca="false">M22/34200</f>
        <v>0</v>
      </c>
      <c r="AL22" s="0" t="n">
        <f aca="false">N22/34200</f>
        <v>-7.95971410006497E-010</v>
      </c>
      <c r="AM22" s="0" t="n">
        <f aca="false">O22/34200</f>
        <v>0</v>
      </c>
      <c r="AN22" s="0" t="n">
        <f aca="false">P22/34200</f>
        <v>0</v>
      </c>
      <c r="AO22" s="0" t="n">
        <f aca="false">Q22/34200</f>
        <v>0</v>
      </c>
      <c r="AP22" s="0" t="n">
        <v>0</v>
      </c>
      <c r="AQ22" s="0" t="n">
        <f aca="false">S22/34200</f>
        <v>-3.71054341506789E-010</v>
      </c>
      <c r="AR22" s="0" t="n">
        <f aca="false">T22/34200</f>
        <v>-4.06962826168737E-010</v>
      </c>
      <c r="AS22" s="0" t="n">
        <f aca="false">U22/34200</f>
        <v>-2.45374645189973E-010</v>
      </c>
      <c r="AT22" s="0" t="n">
        <f aca="false">V22/34200</f>
        <v>0</v>
      </c>
      <c r="AU22" s="0" t="n">
        <f aca="false">W22/34200</f>
        <v>0</v>
      </c>
      <c r="AV22" s="0" t="n">
        <f aca="false">X22/34200</f>
        <v>-4.96734037823605E-010</v>
      </c>
      <c r="AW22" s="0" t="n">
        <f aca="false">Y22/34200</f>
        <v>-3.11206867070211E-010</v>
      </c>
      <c r="AX22" s="0" t="n">
        <f aca="false">Z22/34200</f>
        <v>0</v>
      </c>
      <c r="AY22" s="0" t="n">
        <v>-2.55548715844191E-009</v>
      </c>
      <c r="AZ22" s="0" t="n">
        <f aca="false">AB22/34200</f>
        <v>-2.09466160528026E-010</v>
      </c>
      <c r="BA22" s="0" t="n">
        <f aca="false">AC22/34200</f>
        <v>0</v>
      </c>
      <c r="BI22" s="0" t="n">
        <v>0</v>
      </c>
      <c r="BT22" s="0" t="n">
        <v>0</v>
      </c>
      <c r="CF22" s="0" t="n">
        <v>0</v>
      </c>
      <c r="CS22" s="0" t="n">
        <v>0</v>
      </c>
      <c r="DG22" s="0" t="n">
        <v>0</v>
      </c>
      <c r="DV22" s="0" t="n">
        <v>0</v>
      </c>
      <c r="EL22" s="0" t="n">
        <v>0</v>
      </c>
      <c r="FC22" s="0" t="n">
        <v>0</v>
      </c>
      <c r="FU22" s="0" t="n">
        <v>0</v>
      </c>
      <c r="GN22" s="0" t="n">
        <v>0</v>
      </c>
      <c r="HH22" s="0" t="n">
        <v>0</v>
      </c>
      <c r="IC22" s="0" t="n">
        <v>0</v>
      </c>
      <c r="IY22" s="0" t="n">
        <v>0</v>
      </c>
      <c r="JV22" s="0" t="n">
        <v>0</v>
      </c>
    </row>
    <row r="23" customFormat="false" ht="15" hidden="false" customHeight="false" outlineLevel="0" collapsed="false">
      <c r="D23" s="277"/>
      <c r="E23" s="279" t="s">
        <v>496</v>
      </c>
      <c r="F23" s="281" t="n">
        <v>1.25925399166667</v>
      </c>
      <c r="G23" s="280" t="n">
        <v>1.0563596375</v>
      </c>
      <c r="H23" s="281" t="n">
        <v>0.931743234166667</v>
      </c>
      <c r="I23" s="280" t="n">
        <v>1.343029725</v>
      </c>
      <c r="J23" s="281" t="n">
        <v>0.947189385</v>
      </c>
      <c r="K23" s="280" t="n">
        <v>2.16586450583333</v>
      </c>
      <c r="L23" s="281" t="n">
        <v>0</v>
      </c>
      <c r="M23" s="280" t="n">
        <v>2.03941550833333</v>
      </c>
      <c r="N23" s="281" t="n">
        <v>0.992480640833333</v>
      </c>
      <c r="O23" s="280" t="n">
        <v>2.32163501</v>
      </c>
      <c r="P23" s="281" t="n">
        <v>0.139819159481417</v>
      </c>
      <c r="Q23" s="280" t="n">
        <v>1.207941355</v>
      </c>
      <c r="R23" s="281" t="n">
        <v>1.25925399166667</v>
      </c>
      <c r="S23" s="280" t="n">
        <v>1.0563596375</v>
      </c>
      <c r="T23" s="281" t="n">
        <v>0.931743234166667</v>
      </c>
      <c r="U23" s="280" t="n">
        <v>1.343029725</v>
      </c>
      <c r="V23" s="281" t="n">
        <v>0.947189385</v>
      </c>
      <c r="W23" s="280" t="n">
        <v>2.16586450583333</v>
      </c>
      <c r="X23" s="281" t="n">
        <v>0</v>
      </c>
      <c r="Y23" s="280" t="n">
        <v>2.03941550833333</v>
      </c>
      <c r="Z23" s="281" t="n">
        <v>0.992480640833333</v>
      </c>
      <c r="AA23" s="280" t="n">
        <v>2.32163501</v>
      </c>
      <c r="AB23" s="281" t="n">
        <v>0.139819159481417</v>
      </c>
      <c r="AC23" s="280" t="n">
        <v>1.207941355</v>
      </c>
      <c r="AD23" s="0" t="n">
        <v>4.81</v>
      </c>
      <c r="AE23" s="0" t="n">
        <f aca="false">G23</f>
        <v>1.0563596375</v>
      </c>
      <c r="AF23" s="0" t="n">
        <v>4.035</v>
      </c>
      <c r="AG23" s="0" t="n">
        <v>0</v>
      </c>
      <c r="AH23" s="0" t="n">
        <v>3.559</v>
      </c>
      <c r="AI23" s="0" t="n">
        <f aca="false">K23</f>
        <v>2.16586450583333</v>
      </c>
      <c r="AJ23" s="0" t="n">
        <v>5.13</v>
      </c>
      <c r="AK23" s="0" t="n">
        <f aca="false">M23</f>
        <v>2.03941550833333</v>
      </c>
      <c r="AL23" s="0" t="n">
        <v>3.618</v>
      </c>
      <c r="AM23" s="0" t="n">
        <f aca="false">O23</f>
        <v>2.32163501</v>
      </c>
      <c r="AN23" s="0" t="n">
        <v>8.273</v>
      </c>
      <c r="AO23" s="0" t="n">
        <v>0</v>
      </c>
      <c r="AP23" s="0" t="n">
        <v>0</v>
      </c>
      <c r="AQ23" s="0" t="n">
        <f aca="false">S23</f>
        <v>1.0563596375</v>
      </c>
      <c r="AR23" s="0" t="n">
        <v>7.79</v>
      </c>
      <c r="AS23" s="0" t="n">
        <f aca="false">U23</f>
        <v>1.343029725</v>
      </c>
      <c r="AT23" s="0" t="n">
        <v>3.791</v>
      </c>
      <c r="AU23" s="0" t="n">
        <f aca="false">W23</f>
        <v>2.16586450583333</v>
      </c>
      <c r="AV23" s="0" t="n">
        <v>8.868</v>
      </c>
      <c r="AW23" s="0" t="n">
        <f aca="false">Y23</f>
        <v>2.03941550833333</v>
      </c>
      <c r="AX23" s="0" t="n">
        <v>0.5340703</v>
      </c>
      <c r="AY23" s="0" t="n">
        <f aca="false">AA23</f>
        <v>2.32163501</v>
      </c>
      <c r="AZ23" s="0" t="n">
        <v>4.614</v>
      </c>
      <c r="BA23" s="0" t="n">
        <f aca="false">AC23</f>
        <v>1.207941355</v>
      </c>
      <c r="BH23" s="0" t="n">
        <v>0</v>
      </c>
      <c r="BS23" s="0" t="n">
        <v>0</v>
      </c>
      <c r="CE23" s="0" t="n">
        <v>0</v>
      </c>
      <c r="CR23" s="0" t="n">
        <v>0</v>
      </c>
      <c r="DF23" s="0" t="n">
        <v>0</v>
      </c>
      <c r="DU23" s="0" t="n">
        <v>0</v>
      </c>
      <c r="EK23" s="0" t="n">
        <v>0</v>
      </c>
      <c r="FB23" s="0" t="n">
        <v>0</v>
      </c>
      <c r="FT23" s="0" t="n">
        <v>0</v>
      </c>
      <c r="GM23" s="0" t="n">
        <v>0</v>
      </c>
      <c r="HG23" s="0" t="n">
        <v>0</v>
      </c>
      <c r="IB23" s="0" t="n">
        <v>0</v>
      </c>
      <c r="IX23" s="0" t="n">
        <v>0</v>
      </c>
      <c r="JU23" s="0" t="n">
        <v>0</v>
      </c>
      <c r="KS23" s="0" t="n">
        <v>0</v>
      </c>
    </row>
    <row r="24" customFormat="false" ht="15" hidden="false" customHeight="false" outlineLevel="0" collapsed="false">
      <c r="D24" s="277"/>
      <c r="E24" s="282" t="s">
        <v>497</v>
      </c>
      <c r="F24" s="283" t="n">
        <v>0</v>
      </c>
      <c r="G24" s="284" t="n">
        <v>4.291</v>
      </c>
      <c r="H24" s="283" t="n">
        <v>2.701</v>
      </c>
      <c r="I24" s="284" t="n">
        <v>0</v>
      </c>
      <c r="J24" s="283" t="n">
        <v>5.176</v>
      </c>
      <c r="K24" s="284" t="n">
        <v>3.904</v>
      </c>
      <c r="L24" s="283" t="n">
        <v>0</v>
      </c>
      <c r="M24" s="284" t="n">
        <v>0</v>
      </c>
      <c r="N24" s="283" t="n">
        <v>2.802</v>
      </c>
      <c r="O24" s="284" t="n">
        <v>1.893</v>
      </c>
      <c r="P24" s="283" t="n">
        <v>0</v>
      </c>
      <c r="Q24" s="284" t="n">
        <v>0</v>
      </c>
      <c r="R24" s="283" t="n">
        <v>0</v>
      </c>
      <c r="S24" s="284" t="n">
        <v>1.535</v>
      </c>
      <c r="T24" s="283" t="n">
        <v>0</v>
      </c>
      <c r="U24" s="284" t="n">
        <v>3.219</v>
      </c>
      <c r="V24" s="283" t="n">
        <v>3.753</v>
      </c>
      <c r="W24" s="284" t="n">
        <v>0</v>
      </c>
      <c r="X24" s="283" t="n">
        <v>4.398</v>
      </c>
      <c r="Y24" s="284" t="n">
        <v>0</v>
      </c>
      <c r="Z24" s="283" t="n">
        <v>6.77</v>
      </c>
      <c r="AA24" s="284" t="n">
        <v>5.534</v>
      </c>
      <c r="AB24" s="283" t="n">
        <v>5.498</v>
      </c>
      <c r="AC24" s="284" t="n">
        <v>0</v>
      </c>
      <c r="AD24" s="0" t="n">
        <f aca="false">F24</f>
        <v>0</v>
      </c>
      <c r="AE24" s="0" t="n">
        <f aca="false">G24</f>
        <v>4.291</v>
      </c>
      <c r="AF24" s="0" t="n">
        <f aca="false">H24</f>
        <v>2.701</v>
      </c>
      <c r="AG24" s="0" t="n">
        <f aca="false">I24</f>
        <v>0</v>
      </c>
      <c r="AH24" s="0" t="n">
        <f aca="false">J24</f>
        <v>5.176</v>
      </c>
      <c r="AI24" s="0" t="n">
        <f aca="false">K24</f>
        <v>3.904</v>
      </c>
      <c r="AJ24" s="0" t="n">
        <f aca="false">L24</f>
        <v>0</v>
      </c>
      <c r="AK24" s="0" t="n">
        <f aca="false">M24</f>
        <v>0</v>
      </c>
      <c r="AL24" s="0" t="n">
        <f aca="false">N24</f>
        <v>2.802</v>
      </c>
      <c r="AM24" s="0" t="n">
        <f aca="false">O24</f>
        <v>1.893</v>
      </c>
      <c r="AN24" s="0" t="n">
        <f aca="false">P24</f>
        <v>0</v>
      </c>
      <c r="AO24" s="0" t="n">
        <f aca="false">Q24</f>
        <v>0</v>
      </c>
      <c r="AP24" s="0" t="n">
        <f aca="false">R24</f>
        <v>0</v>
      </c>
      <c r="AQ24" s="0" t="n">
        <f aca="false">S24</f>
        <v>1.535</v>
      </c>
      <c r="AR24" s="0" t="n">
        <f aca="false">T24</f>
        <v>0</v>
      </c>
      <c r="AS24" s="0" t="n">
        <f aca="false">U24</f>
        <v>3.219</v>
      </c>
      <c r="AT24" s="0" t="n">
        <f aca="false">V24</f>
        <v>3.753</v>
      </c>
      <c r="AU24" s="0" t="n">
        <f aca="false">W24</f>
        <v>0</v>
      </c>
      <c r="AV24" s="0" t="n">
        <f aca="false">X24</f>
        <v>4.398</v>
      </c>
      <c r="AW24" s="0" t="n">
        <f aca="false">Y24</f>
        <v>0</v>
      </c>
      <c r="AX24" s="0" t="n">
        <f aca="false">Z24</f>
        <v>6.77</v>
      </c>
      <c r="AY24" s="0" t="n">
        <f aca="false">AA24</f>
        <v>5.534</v>
      </c>
      <c r="AZ24" s="0" t="n">
        <f aca="false">AB24</f>
        <v>5.498</v>
      </c>
      <c r="BA24" s="0" t="n">
        <f aca="false">AC24</f>
        <v>0</v>
      </c>
    </row>
    <row r="25" customFormat="false" ht="15" hidden="false" customHeight="false" outlineLevel="0" collapsed="false">
      <c r="D25" s="277" t="s">
        <v>505</v>
      </c>
      <c r="E25" s="278" t="s">
        <v>494</v>
      </c>
      <c r="F25" s="247" t="n">
        <v>-2.82456140350877E-005</v>
      </c>
      <c r="G25" s="61" t="n">
        <v>-6.54970760233918E-006</v>
      </c>
      <c r="H25" s="247" t="n">
        <v>0</v>
      </c>
      <c r="I25" s="61" t="n">
        <v>-1.12573099415205E-005</v>
      </c>
      <c r="J25" s="247" t="n">
        <v>-4.52446906740536E-009</v>
      </c>
      <c r="K25" s="61" t="n">
        <v>0</v>
      </c>
      <c r="L25" s="247" t="n">
        <v>-1.10526315789474E-005</v>
      </c>
      <c r="M25" s="61" t="n">
        <v>-1.65789473684211E-005</v>
      </c>
      <c r="N25" s="247" t="n">
        <v>0</v>
      </c>
      <c r="O25" s="61" t="n">
        <v>0</v>
      </c>
      <c r="P25" s="247" t="n">
        <v>0</v>
      </c>
      <c r="Q25" s="61" t="n">
        <v>0</v>
      </c>
      <c r="R25" s="247" t="n">
        <v>0</v>
      </c>
      <c r="S25" s="61" t="n">
        <v>0</v>
      </c>
      <c r="T25" s="247" t="n">
        <v>0</v>
      </c>
      <c r="U25" s="61" t="n">
        <v>0</v>
      </c>
      <c r="V25" s="247" t="n">
        <v>-1.53508771929825E-005</v>
      </c>
      <c r="W25" s="61" t="n">
        <v>0</v>
      </c>
      <c r="X25" s="247" t="n">
        <v>-1.71929824561403E-005</v>
      </c>
      <c r="Y25" s="61" t="n">
        <v>0</v>
      </c>
      <c r="Z25" s="247" t="n">
        <v>0</v>
      </c>
      <c r="AA25" s="61" t="n">
        <v>-1.17301049895694E-008</v>
      </c>
      <c r="AB25" s="247" t="n">
        <v>-1.4327485380117E-005</v>
      </c>
      <c r="AC25" s="61" t="n">
        <v>-7.16374269005848E-006</v>
      </c>
      <c r="AD25" s="0" t="n">
        <f aca="false">F25/34200</f>
        <v>-8.25895147224787E-010</v>
      </c>
      <c r="AE25" s="0" t="n">
        <f aca="false">G25/34200</f>
        <v>-1.91511918197052E-010</v>
      </c>
      <c r="AF25" s="0" t="n">
        <f aca="false">H25/34200</f>
        <v>0</v>
      </c>
      <c r="AG25" s="0" t="n">
        <f aca="false">I25/34200</f>
        <v>-3.29161109401184E-010</v>
      </c>
      <c r="AH25" s="0" t="n">
        <v>-6.46352723915051E-010</v>
      </c>
      <c r="AI25" s="0" t="n">
        <f aca="false">K25/34200</f>
        <v>0</v>
      </c>
      <c r="AJ25" s="0" t="n">
        <f aca="false">L25/34200</f>
        <v>-3.23176361957526E-010</v>
      </c>
      <c r="AK25" s="0" t="n">
        <f aca="false">M25/34200</f>
        <v>-4.84764542936289E-010</v>
      </c>
      <c r="AL25" s="0" t="n">
        <f aca="false">N25/34200</f>
        <v>0</v>
      </c>
      <c r="AM25" s="0" t="n">
        <f aca="false">O25/34200</f>
        <v>0</v>
      </c>
      <c r="AN25" s="0" t="n">
        <f aca="false">P25/34200</f>
        <v>0</v>
      </c>
      <c r="AO25" s="0" t="n">
        <f aca="false">Q25/34200</f>
        <v>0</v>
      </c>
      <c r="AP25" s="0" t="n">
        <v>0</v>
      </c>
      <c r="AQ25" s="0" t="n">
        <f aca="false">S25/34200</f>
        <v>0</v>
      </c>
      <c r="AR25" s="0" t="n">
        <f aca="false">T25/34200</f>
        <v>0</v>
      </c>
      <c r="AS25" s="0" t="n">
        <f aca="false">U25/34200</f>
        <v>0</v>
      </c>
      <c r="AT25" s="0" t="n">
        <f aca="false">V25/34200</f>
        <v>-4.48856058274342E-010</v>
      </c>
      <c r="AU25" s="0" t="n">
        <f aca="false">W25/34200</f>
        <v>0</v>
      </c>
      <c r="AV25" s="0" t="n">
        <f aca="false">X25/34200</f>
        <v>-5.0271878526726E-010</v>
      </c>
      <c r="AW25" s="0" t="n">
        <f aca="false">Y25/34200</f>
        <v>0</v>
      </c>
      <c r="AX25" s="0" t="n">
        <f aca="false">Z25/34200</f>
        <v>0</v>
      </c>
      <c r="AY25" s="0" t="n">
        <v>-1.67572928422421E-009</v>
      </c>
      <c r="AZ25" s="0" t="n">
        <f aca="false">AB25/34200</f>
        <v>-4.18932321056053E-010</v>
      </c>
      <c r="BA25" s="0" t="n">
        <f aca="false">AC25/34200</f>
        <v>-2.09466160528026E-010</v>
      </c>
      <c r="BI25" s="0" t="n">
        <v>0</v>
      </c>
      <c r="BT25" s="0" t="n">
        <v>0</v>
      </c>
      <c r="CF25" s="0" t="n">
        <v>0</v>
      </c>
      <c r="CS25" s="0" t="n">
        <v>0</v>
      </c>
      <c r="DG25" s="0" t="n">
        <v>0</v>
      </c>
      <c r="DV25" s="0" t="n">
        <v>0</v>
      </c>
      <c r="EL25" s="0" t="n">
        <v>0</v>
      </c>
      <c r="FC25" s="0" t="n">
        <v>0</v>
      </c>
      <c r="FU25" s="0" t="n">
        <v>0</v>
      </c>
      <c r="GN25" s="0" t="n">
        <v>0</v>
      </c>
      <c r="HH25" s="0" t="n">
        <v>0</v>
      </c>
      <c r="IC25" s="0" t="n">
        <v>0</v>
      </c>
      <c r="IY25" s="0" t="n">
        <v>0</v>
      </c>
      <c r="JV25" s="0" t="n">
        <v>0</v>
      </c>
    </row>
    <row r="26" customFormat="false" ht="15" hidden="false" customHeight="false" outlineLevel="0" collapsed="false">
      <c r="D26" s="277"/>
      <c r="E26" s="279" t="s">
        <v>495</v>
      </c>
      <c r="F26" s="281" t="n">
        <v>0</v>
      </c>
      <c r="G26" s="280" t="n">
        <v>-6.14035087719298E-006</v>
      </c>
      <c r="H26" s="281" t="n">
        <v>-1.80116959064327E-005</v>
      </c>
      <c r="I26" s="280" t="n">
        <v>-1.30994152046784E-005</v>
      </c>
      <c r="J26" s="281" t="n">
        <v>-3.68660442529325E-009</v>
      </c>
      <c r="K26" s="280" t="n">
        <v>0</v>
      </c>
      <c r="L26" s="281" t="n">
        <v>-2.92690058479532E-005</v>
      </c>
      <c r="M26" s="280" t="n">
        <v>-2.10818713450292E-005</v>
      </c>
      <c r="N26" s="281" t="n">
        <v>-1.90350877192982E-005</v>
      </c>
      <c r="O26" s="280" t="n">
        <v>-9.21052631578947E-006</v>
      </c>
      <c r="P26" s="281" t="n">
        <v>-2.08771929824561E-005</v>
      </c>
      <c r="Q26" s="280" t="n">
        <v>0</v>
      </c>
      <c r="R26" s="281" t="n">
        <v>-7.54078177900893E-009</v>
      </c>
      <c r="S26" s="280" t="n">
        <v>0</v>
      </c>
      <c r="T26" s="281" t="n">
        <v>0</v>
      </c>
      <c r="U26" s="280" t="n">
        <v>-1.73976608187134E-005</v>
      </c>
      <c r="V26" s="281" t="n">
        <v>-7.57309941520468E-006</v>
      </c>
      <c r="W26" s="280" t="n">
        <v>-1.2280701754386E-005</v>
      </c>
      <c r="X26" s="281" t="n">
        <v>0</v>
      </c>
      <c r="Y26" s="280" t="n">
        <v>-1.35087719298246E-005</v>
      </c>
      <c r="Z26" s="281" t="n">
        <v>-1.47368421052632E-005</v>
      </c>
      <c r="AA26" s="280" t="n">
        <v>0</v>
      </c>
      <c r="AB26" s="281" t="n">
        <v>-1.39181286549708E-005</v>
      </c>
      <c r="AC26" s="280" t="n">
        <v>-1.04385964912281E-005</v>
      </c>
      <c r="AD26" s="0" t="n">
        <f aca="false">F26/34200</f>
        <v>0</v>
      </c>
      <c r="AE26" s="0" t="n">
        <f aca="false">G26/34200</f>
        <v>-1.79542423309736E-010</v>
      </c>
      <c r="AF26" s="0" t="n">
        <f aca="false">H26/34200</f>
        <v>-5.26657775041892E-010</v>
      </c>
      <c r="AG26" s="0" t="n">
        <f aca="false">I26/34200</f>
        <v>-3.83023836394105E-010</v>
      </c>
      <c r="AH26" s="0" t="n">
        <v>-5.26657775041893E-010</v>
      </c>
      <c r="AI26" s="0" t="n">
        <f aca="false">K26/34200</f>
        <v>0</v>
      </c>
      <c r="AJ26" s="0" t="n">
        <f aca="false">L26/34200</f>
        <v>-8.55818884443076E-010</v>
      </c>
      <c r="AK26" s="0" t="n">
        <f aca="false">M26/34200</f>
        <v>-6.1642898669676E-010</v>
      </c>
      <c r="AL26" s="0" t="n">
        <f aca="false">N26/34200</f>
        <v>-5.56581512260181E-010</v>
      </c>
      <c r="AM26" s="0" t="n">
        <f aca="false">O26/34200</f>
        <v>-2.69313634964604E-010</v>
      </c>
      <c r="AN26" s="0" t="n">
        <f aca="false">P26/34200</f>
        <v>-6.10444239253102E-010</v>
      </c>
      <c r="AO26" s="0" t="n">
        <f aca="false">Q26/34200</f>
        <v>0</v>
      </c>
      <c r="AP26" s="0" t="n">
        <v>-1.07725453985842E-009</v>
      </c>
      <c r="AQ26" s="0" t="n">
        <f aca="false">S26/34200</f>
        <v>0</v>
      </c>
      <c r="AR26" s="0" t="n">
        <f aca="false">T26/34200</f>
        <v>0</v>
      </c>
      <c r="AS26" s="0" t="n">
        <f aca="false">U26/34200</f>
        <v>-5.08703532710918E-010</v>
      </c>
      <c r="AT26" s="0" t="n">
        <f aca="false">V26/34200</f>
        <v>-2.21435655415342E-010</v>
      </c>
      <c r="AU26" s="0" t="n">
        <f aca="false">W26/34200</f>
        <v>-3.59084846619474E-010</v>
      </c>
      <c r="AV26" s="0" t="n">
        <f aca="false">X26/34200</f>
        <v>0</v>
      </c>
      <c r="AW26" s="0" t="n">
        <f aca="false">Y26/34200</f>
        <v>-3.94993331281421E-010</v>
      </c>
      <c r="AX26" s="0" t="n">
        <f aca="false">Z26/34200</f>
        <v>-4.30901815943368E-010</v>
      </c>
      <c r="AY26" s="0" t="n">
        <v>0</v>
      </c>
      <c r="AZ26" s="0" t="n">
        <f aca="false">AB26/34200</f>
        <v>-4.06962826168737E-010</v>
      </c>
      <c r="BA26" s="0" t="n">
        <f aca="false">AC26/34200</f>
        <v>-3.05222119626553E-010</v>
      </c>
      <c r="BI26" s="0" t="n">
        <v>0</v>
      </c>
      <c r="BT26" s="0" t="n">
        <v>0</v>
      </c>
      <c r="CF26" s="0" t="n">
        <v>0</v>
      </c>
      <c r="CS26" s="0" t="n">
        <v>0</v>
      </c>
      <c r="DG26" s="0" t="n">
        <v>0</v>
      </c>
      <c r="DV26" s="0" t="n">
        <v>0</v>
      </c>
      <c r="EL26" s="0" t="n">
        <v>0</v>
      </c>
      <c r="FC26" s="0" t="n">
        <v>0</v>
      </c>
      <c r="FU26" s="0" t="n">
        <v>0</v>
      </c>
      <c r="GN26" s="0" t="n">
        <v>0</v>
      </c>
      <c r="HH26" s="0" t="n">
        <v>0</v>
      </c>
      <c r="IC26" s="0" t="n">
        <v>0</v>
      </c>
      <c r="IY26" s="0" t="n">
        <v>0</v>
      </c>
      <c r="JV26" s="0" t="n">
        <v>0</v>
      </c>
    </row>
    <row r="27" customFormat="false" ht="15" hidden="false" customHeight="false" outlineLevel="0" collapsed="false">
      <c r="D27" s="277"/>
      <c r="E27" s="279" t="s">
        <v>496</v>
      </c>
      <c r="F27" s="281" t="n">
        <v>1.00583239833333</v>
      </c>
      <c r="G27" s="280" t="n">
        <v>0.428565235833333</v>
      </c>
      <c r="H27" s="281" t="n">
        <v>1.11264645833333</v>
      </c>
      <c r="I27" s="280" t="n">
        <v>0.900327334166667</v>
      </c>
      <c r="J27" s="281" t="n">
        <v>0.729372478333333</v>
      </c>
      <c r="K27" s="280" t="n">
        <v>2.197542205</v>
      </c>
      <c r="L27" s="281" t="n">
        <v>0.943785995833333</v>
      </c>
      <c r="M27" s="280" t="n">
        <v>0</v>
      </c>
      <c r="N27" s="281" t="n">
        <v>1.42183127416667</v>
      </c>
      <c r="O27" s="280" t="n">
        <v>2.364046475</v>
      </c>
      <c r="P27" s="281" t="n">
        <v>0.272099050559424</v>
      </c>
      <c r="Q27" s="280" t="n">
        <v>0.752149005833333</v>
      </c>
      <c r="R27" s="281" t="n">
        <v>1.00583239833333</v>
      </c>
      <c r="S27" s="280" t="n">
        <v>0.428565235833333</v>
      </c>
      <c r="T27" s="281" t="n">
        <v>1.11264645833333</v>
      </c>
      <c r="U27" s="280" t="n">
        <v>0.900327334166667</v>
      </c>
      <c r="V27" s="281" t="n">
        <v>0.729372478333333</v>
      </c>
      <c r="W27" s="280" t="n">
        <v>2.197542205</v>
      </c>
      <c r="X27" s="281" t="n">
        <v>0.943785995833333</v>
      </c>
      <c r="Y27" s="280" t="n">
        <v>0</v>
      </c>
      <c r="Z27" s="281" t="n">
        <v>1.42183127416667</v>
      </c>
      <c r="AA27" s="280" t="n">
        <v>2.364046475</v>
      </c>
      <c r="AB27" s="281" t="n">
        <v>0.272099050559424</v>
      </c>
      <c r="AC27" s="280" t="n">
        <v>0.752149005833333</v>
      </c>
      <c r="AD27" s="0" t="n">
        <v>3.842</v>
      </c>
      <c r="AE27" s="0" t="n">
        <f aca="false">G27</f>
        <v>0.428565235833333</v>
      </c>
      <c r="AF27" s="0" t="n">
        <v>1.637</v>
      </c>
      <c r="AG27" s="0" t="n">
        <v>0.906610514166667</v>
      </c>
      <c r="AH27" s="0" t="n">
        <v>4.25</v>
      </c>
      <c r="AI27" s="0" t="n">
        <f aca="false">K27</f>
        <v>2.197542205</v>
      </c>
      <c r="AJ27" s="0" t="n">
        <v>3.439</v>
      </c>
      <c r="AK27" s="0" t="n">
        <f aca="false">M27</f>
        <v>0</v>
      </c>
      <c r="AL27" s="0" t="n">
        <v>2.786</v>
      </c>
      <c r="AM27" s="0" t="n">
        <f aca="false">O27</f>
        <v>2.364046475</v>
      </c>
      <c r="AN27" s="0" t="n">
        <v>8.394</v>
      </c>
      <c r="AO27" s="0" t="n">
        <v>0</v>
      </c>
      <c r="AP27" s="0" t="n">
        <v>3.605</v>
      </c>
      <c r="AQ27" s="0" t="n">
        <f aca="false">S27</f>
        <v>0.428565235833333</v>
      </c>
      <c r="AR27" s="0" t="n">
        <v>0</v>
      </c>
      <c r="AS27" s="0" t="n">
        <f aca="false">U27</f>
        <v>0.900327334166667</v>
      </c>
      <c r="AT27" s="0" t="n">
        <v>5.431</v>
      </c>
      <c r="AU27" s="0" t="n">
        <f aca="false">W27</f>
        <v>2.197542205</v>
      </c>
      <c r="AV27" s="0" t="n">
        <v>9.03</v>
      </c>
      <c r="AW27" s="0" t="n">
        <f aca="false">Y27</f>
        <v>0</v>
      </c>
      <c r="AX27" s="0" t="n">
        <v>1.03934269166667</v>
      </c>
      <c r="AY27" s="0" t="n">
        <f aca="false">AA27</f>
        <v>2.364046475</v>
      </c>
      <c r="AZ27" s="0" t="n">
        <v>2.873</v>
      </c>
      <c r="BA27" s="0" t="n">
        <f aca="false">AC27</f>
        <v>0.752149005833333</v>
      </c>
      <c r="BH27" s="0" t="n">
        <v>0</v>
      </c>
      <c r="BS27" s="0" t="n">
        <v>0</v>
      </c>
      <c r="CE27" s="0" t="n">
        <v>0</v>
      </c>
      <c r="CR27" s="0" t="n">
        <v>0</v>
      </c>
      <c r="DF27" s="0" t="n">
        <v>0</v>
      </c>
      <c r="DU27" s="0" t="n">
        <v>0</v>
      </c>
      <c r="EK27" s="0" t="n">
        <v>0</v>
      </c>
      <c r="FB27" s="0" t="n">
        <v>0</v>
      </c>
      <c r="FT27" s="0" t="n">
        <v>0</v>
      </c>
      <c r="GM27" s="0" t="n">
        <v>0</v>
      </c>
      <c r="HG27" s="0" t="n">
        <v>0</v>
      </c>
      <c r="IB27" s="0" t="n">
        <v>0</v>
      </c>
      <c r="IX27" s="0" t="n">
        <v>0</v>
      </c>
      <c r="JU27" s="0" t="n">
        <v>0</v>
      </c>
      <c r="KS27" s="0" t="n">
        <v>0</v>
      </c>
    </row>
    <row r="28" customFormat="false" ht="15" hidden="false" customHeight="false" outlineLevel="0" collapsed="false">
      <c r="D28" s="277"/>
      <c r="E28" s="282" t="s">
        <v>497</v>
      </c>
      <c r="F28" s="283" t="n">
        <v>3.919</v>
      </c>
      <c r="G28" s="284" t="n">
        <v>0.392</v>
      </c>
      <c r="H28" s="283" t="n">
        <v>0</v>
      </c>
      <c r="I28" s="284" t="n">
        <v>5.081</v>
      </c>
      <c r="J28" s="283" t="n">
        <v>1.464</v>
      </c>
      <c r="K28" s="284" t="n">
        <v>0</v>
      </c>
      <c r="L28" s="283" t="n">
        <v>4.298</v>
      </c>
      <c r="M28" s="284" t="n">
        <v>0.837</v>
      </c>
      <c r="N28" s="283" t="n">
        <v>1.435</v>
      </c>
      <c r="O28" s="284" t="n">
        <v>1.91</v>
      </c>
      <c r="P28" s="283" t="n">
        <v>1.219</v>
      </c>
      <c r="Q28" s="284" t="n">
        <v>0</v>
      </c>
      <c r="R28" s="283" t="n">
        <v>1.647</v>
      </c>
      <c r="S28" s="284" t="n">
        <v>0</v>
      </c>
      <c r="T28" s="283" t="n">
        <v>0</v>
      </c>
      <c r="U28" s="284" t="n">
        <v>1.959</v>
      </c>
      <c r="V28" s="283" t="n">
        <v>0</v>
      </c>
      <c r="W28" s="284" t="n">
        <v>4.917</v>
      </c>
      <c r="X28" s="283" t="n">
        <v>2.151</v>
      </c>
      <c r="Y28" s="284" t="n">
        <v>0.908</v>
      </c>
      <c r="Z28" s="283" t="n">
        <v>2</v>
      </c>
      <c r="AA28" s="284" t="n">
        <v>7.115</v>
      </c>
      <c r="AB28" s="283" t="n">
        <v>0</v>
      </c>
      <c r="AC28" s="284" t="n">
        <v>4.125</v>
      </c>
      <c r="AD28" s="0" t="n">
        <f aca="false">F28</f>
        <v>3.919</v>
      </c>
      <c r="AE28" s="0" t="n">
        <f aca="false">G28</f>
        <v>0.392</v>
      </c>
      <c r="AF28" s="0" t="n">
        <f aca="false">H28</f>
        <v>0</v>
      </c>
      <c r="AG28" s="0" t="n">
        <f aca="false">I28</f>
        <v>5.081</v>
      </c>
      <c r="AH28" s="0" t="n">
        <f aca="false">J28</f>
        <v>1.464</v>
      </c>
      <c r="AI28" s="0" t="n">
        <f aca="false">K28</f>
        <v>0</v>
      </c>
      <c r="AJ28" s="0" t="n">
        <f aca="false">L28</f>
        <v>4.298</v>
      </c>
      <c r="AK28" s="0" t="n">
        <f aca="false">M28</f>
        <v>0.837</v>
      </c>
      <c r="AL28" s="0" t="n">
        <f aca="false">N28</f>
        <v>1.435</v>
      </c>
      <c r="AM28" s="0" t="n">
        <f aca="false">O28</f>
        <v>1.91</v>
      </c>
      <c r="AN28" s="0" t="n">
        <f aca="false">P28</f>
        <v>1.219</v>
      </c>
      <c r="AO28" s="0" t="n">
        <f aca="false">Q28</f>
        <v>0</v>
      </c>
      <c r="AP28" s="0" t="n">
        <f aca="false">R28</f>
        <v>1.647</v>
      </c>
      <c r="AQ28" s="0" t="n">
        <f aca="false">S28</f>
        <v>0</v>
      </c>
      <c r="AR28" s="0" t="n">
        <f aca="false">T28</f>
        <v>0</v>
      </c>
      <c r="AS28" s="0" t="n">
        <f aca="false">U28</f>
        <v>1.959</v>
      </c>
      <c r="AT28" s="0" t="n">
        <f aca="false">V28</f>
        <v>0</v>
      </c>
      <c r="AU28" s="0" t="n">
        <f aca="false">W28</f>
        <v>4.917</v>
      </c>
      <c r="AV28" s="0" t="n">
        <f aca="false">X28</f>
        <v>2.151</v>
      </c>
      <c r="AW28" s="0" t="n">
        <f aca="false">Y28</f>
        <v>0.908</v>
      </c>
      <c r="AX28" s="0" t="n">
        <f aca="false">Z28</f>
        <v>2</v>
      </c>
      <c r="AY28" s="0" t="n">
        <f aca="false">AA28</f>
        <v>7.115</v>
      </c>
      <c r="AZ28" s="0" t="n">
        <f aca="false">AB28</f>
        <v>0</v>
      </c>
      <c r="BA28" s="0" t="n">
        <f aca="false">AC28</f>
        <v>4.125</v>
      </c>
    </row>
    <row r="42" customFormat="false" ht="15" hidden="false" customHeight="false" outlineLevel="0" collapsed="false">
      <c r="E42" s="0" t="str">
        <f aca="false">LEFT(G2)</f>
        <v/>
      </c>
    </row>
    <row r="46" customFormat="false" ht="15" hidden="false" customHeight="false" outlineLevel="0" collapsed="false">
      <c r="E46" s="0" t="s">
        <v>506</v>
      </c>
      <c r="F46" s="0" t="str">
        <f aca="false">F2&amp;"-"&amp;F6</f>
        <v>Jan-Work </v>
      </c>
      <c r="G46" s="0" t="str">
        <f aca="false">G2&amp;"-"&amp;G6</f>
        <v>-SK</v>
      </c>
    </row>
    <row r="47" customFormat="false" ht="15" hidden="false" customHeight="false" outlineLevel="0" collapsed="false">
      <c r="E47" s="0" t="n">
        <v>0</v>
      </c>
      <c r="F47" s="0" t="n">
        <f aca="false">F$8+F$9*SIN(F$11*$E47+F$12)+F$10*COS(F$11*$E47+F$12)+F$13*SIN(F$15*$E47+F$16)+F$14*COS(F$15*$E47+F$16)+F$17*SIN(F$19*$E47+F$20)+F$18*COS(F$19*$E47+F$20) + F$21*SIN(F$23*$E47+F$24)+F$22*COS(F$23*$E47+F$24) + F$25*SIN(F$27*$E47+F$28) + F$26*COS(F$27*$E47+F$28)</f>
        <v>0.000818728257794935</v>
      </c>
      <c r="G47" s="0" t="n">
        <f aca="false">G$8+G$9*SIN(G$11*$E47+G$12)+G$10*COS(G$11*$E47+G$12)+G$13*SIN(G$15*$E47+G$16)+G$14*COS(G$15*$E47+G$16)+G$17*SIN(G$19*$E47+G$20)+G$18*COS(G$19*$E47+G$20) + G$21*SIN(G$23*$E47+G$24)+G$22*COS(G$23*$E47+G$24) + G$25*SIN(G$27*$E47+G$28) + G$26*COS(G$27*$E47+G$28)</f>
        <v>0.000752718274055475</v>
      </c>
      <c r="H47" s="0" t="n">
        <f aca="false">H$8+H$9*SIN(H$11*$E47+H$12)+H$10*COS(H$11*$E47+H$12)+H$13*SIN(H$15*$E47+H$16)+H$14*COS(H$15*$E47+H$16)+H$17*SIN(H$19*$E47+H$20)+H$18*COS(H$19*$E47+H$20) + H$21*SIN(H$23*$E47+H$24)+H$22*COS(H$23*$E47+H$24) + H$25*SIN(H$27*$E47+H$28) + H$26*COS(H$27*$E47+H$28)</f>
        <v>0.000778790719261304</v>
      </c>
      <c r="I47" s="0" t="n">
        <f aca="false">I$8+I$9*SIN(I$11*$E47+I$12)+I$10*COS(I$11*$E47+I$12)+I$13*SIN(I$15*$E47+I$16)+I$14*COS(I$15*$E47+I$16)+I$17*SIN(I$19*$E47+I$20)+I$18*COS(I$19*$E47+I$20) + I$21*SIN(I$23*$E47+I$24)+I$22*COS(I$23*$E47+I$24) + I$25*SIN(I$27*$E47+I$28) + I$26*COS(I$27*$E47+I$28)</f>
        <v>0.000762094458372781</v>
      </c>
      <c r="J47" s="0" t="n">
        <f aca="false">J$8+J$9*SIN(J$11*$E47+J$12)+J$10*COS(J$11*$E47+J$12)+J$13*SIN(J$15*$E47+J$16)+J$14*COS(J$15*$E47+J$16)+J$17*SIN(J$19*$E47+J$20)+J$18*COS(J$19*$E47+J$20) + J$21*SIN(J$23*$E47+J$24)+J$22*COS(J$23*$E47+J$24) + J$25*SIN(J$27*$E47+J$28) + J$26*COS(J$27*$E47+J$28)</f>
        <v>0.00081930524218563</v>
      </c>
      <c r="K47" s="0" t="n">
        <f aca="false">K$8+K$9*SIN(K$11*$E47+K$12)+K$10*COS(K$11*$E47+K$12)+K$13*SIN(K$15*$E47+K$16)+K$14*COS(K$15*$E47+K$16)+K$17*SIN(K$19*$E47+K$20)+K$18*COS(K$19*$E47+K$20) + K$21*SIN(K$23*$E47+K$24)+K$22*COS(K$23*$E47+K$24) + K$25*SIN(K$27*$E47+K$28) + K$26*COS(K$27*$E47+K$28)</f>
        <v>0.00066063992215223</v>
      </c>
      <c r="L47" s="0" t="n">
        <f aca="false">L$8+L$9*SIN(L$11*$E47+L$12)+L$10*COS(L$11*$E47+L$12)+L$13*SIN(L$15*$E47+L$16)+L$14*COS(L$15*$E47+L$16)+L$17*SIN(L$19*$E47+L$20)+L$18*COS(L$19*$E47+L$20) + L$21*SIN(L$23*$E47+L$24)+L$22*COS(L$23*$E47+L$24) + L$25*SIN(L$27*$E47+L$28) + L$26*COS(L$27*$E47+L$28)</f>
        <v>0.000755648552042969</v>
      </c>
      <c r="M47" s="0" t="n">
        <f aca="false">M$8+M$9*SIN(M$11*$E47+M$12)+M$10*COS(M$11*$E47+M$12)+M$13*SIN(M$15*$E47+M$16)+M$14*COS(M$15*$E47+M$16)+M$17*SIN(M$19*$E47+M$20)+M$18*COS(M$19*$E47+M$20) + M$21*SIN(M$23*$E47+M$24)+M$22*COS(M$23*$E47+M$24) + M$25*SIN(M$27*$E47+M$28) + M$26*COS(M$27*$E47+M$28)</f>
        <v>0.000700963125329586</v>
      </c>
      <c r="N47" s="0" t="n">
        <f aca="false">N$8+N$9*SIN(N$11*$E47+N$12)+N$10*COS(N$11*$E47+N$12)+N$13*SIN(N$15*$E47+N$16)+N$14*COS(N$15*$E47+N$16)+N$17*SIN(N$19*$E47+N$20)+N$18*COS(N$19*$E47+N$20) + N$21*SIN(N$23*$E47+N$24)+N$22*COS(N$23*$E47+N$24) + N$25*SIN(N$27*$E47+N$28) + N$26*COS(N$27*$E47+N$28)</f>
        <v>0.00061892913259731</v>
      </c>
      <c r="O47" s="0" t="n">
        <f aca="false">O$8+O$9*SIN(O$11*$E47+O$12)+O$10*COS(O$11*$E47+O$12)+O$13*SIN(O$15*$E47+O$16)+O$14*COS(O$15*$E47+O$16)+O$17*SIN(O$19*$E47+O$20)+O$18*COS(O$19*$E47+O$20) + O$21*SIN(O$23*$E47+O$24)+O$22*COS(O$23*$E47+O$24) + O$25*SIN(O$27*$E47+O$28) + O$26*COS(O$27*$E47+O$28)</f>
        <v>0.00064508786155434</v>
      </c>
      <c r="P47" s="0" t="n">
        <f aca="false">P$8+P$9*SIN(P$11*$E47+P$12)+P$10*COS(P$11*$E47+P$12)+P$13*SIN(P$15*$E47+P$16)+P$14*COS(P$15*$E47+P$16)+P$17*SIN(P$19*$E47+P$20)+P$18*COS(P$19*$E47+P$20) + P$21*SIN(P$23*$E47+P$24)+P$22*COS(P$23*$E47+P$24) + P$25*SIN(P$27*$E47+P$28) + P$26*COS(P$27*$E47+P$28)</f>
        <v>0.000623477454237946</v>
      </c>
      <c r="Q47" s="0" t="n">
        <f aca="false">Q$8+Q$9*SIN(Q$11*$E47+Q$12)+Q$10*COS(Q$11*$E47+Q$12)+Q$13*SIN(Q$15*$E47+Q$16)+Q$14*COS(Q$15*$E47+Q$16)+Q$17*SIN(Q$19*$E47+Q$20)+Q$18*COS(Q$19*$E47+Q$20) + Q$21*SIN(Q$23*$E47+Q$24)+Q$22*COS(Q$23*$E47+Q$24) + Q$25*SIN(Q$27*$E47+Q$28) + Q$26*COS(Q$27*$E47+Q$28)</f>
        <v>0.000640104907445197</v>
      </c>
      <c r="R47" s="0" t="n">
        <f aca="false">R$8+R$9*SIN(R$11*$E47+R$12)+R$10*COS(R$11*$E47+R$12)+R$13*SIN(R$15*$E47+R$16)+R$14*COS(R$15*$E47+R$16)+R$17*SIN(R$19*$E47+R$20)+R$18*COS(R$19*$E47+R$20) + R$21*SIN(R$23*$E47+R$24)+R$22*COS(R$23*$E47+R$24) + R$25*SIN(R$27*$E47+R$28) + R$26*COS(R$27*$E47+R$28)</f>
        <v>0.000819282530010579</v>
      </c>
      <c r="S47" s="0" t="n">
        <f aca="false">S$8+S$9*SIN(S$11*$E47+S$12)+S$10*COS(S$11*$E47+S$12)+S$13*SIN(S$15*$E47+S$16)+S$14*COS(S$15*$E47+S$16)+S$17*SIN(S$19*$E47+S$20)+S$18*COS(S$19*$E47+S$20) + S$21*SIN(S$23*$E47+S$24)+S$22*COS(S$23*$E47+S$24) + S$25*SIN(S$27*$E47+S$28) + S$26*COS(S$27*$E47+S$28)</f>
        <v>0.000616703697799965</v>
      </c>
      <c r="T47" s="0" t="n">
        <f aca="false">T$8+T$9*SIN(T$11*$E47+T$12)+T$10*COS(T$11*$E47+T$12)+T$13*SIN(T$15*$E47+T$16)+T$14*COS(T$15*$E47+T$16)+T$17*SIN(T$19*$E47+T$20)+T$18*COS(T$19*$E47+T$20) + T$21*SIN(T$23*$E47+T$24)+T$22*COS(T$23*$E47+T$24) + T$25*SIN(T$27*$E47+T$28) + T$26*COS(T$27*$E47+T$28)</f>
        <v>0.000630293043407944</v>
      </c>
      <c r="U47" s="0" t="n">
        <f aca="false">U$8+U$9*SIN(U$11*$E47+U$12)+U$10*COS(U$11*$E47+U$12)+U$13*SIN(U$15*$E47+U$16)+U$14*COS(U$15*$E47+U$16)+U$17*SIN(U$19*$E47+U$20)+U$18*COS(U$19*$E47+U$20) + U$21*SIN(U$23*$E47+U$24)+U$22*COS(U$23*$E47+U$24) + U$25*SIN(U$27*$E47+U$28) + U$26*COS(U$27*$E47+U$28)</f>
        <v>0.00064256509829582</v>
      </c>
      <c r="V47" s="0" t="n">
        <f aca="false">V$8+V$9*SIN(V$11*$E47+V$12)+V$10*COS(V$11*$E47+V$12)+V$13*SIN(V$15*$E47+V$16)+V$14*COS(V$15*$E47+V$16)+V$17*SIN(V$19*$E47+V$20)+V$18*COS(V$19*$E47+V$20) + V$21*SIN(V$23*$E47+V$24)+V$22*COS(V$23*$E47+V$24) + V$25*SIN(V$27*$E47+V$28) + V$26*COS(V$27*$E47+V$28)</f>
        <v>0.000640901532631744</v>
      </c>
      <c r="W47" s="0" t="n">
        <f aca="false">W$8+W$9*SIN(W$11*$E47+W$12)+W$10*COS(W$11*$E47+W$12)+W$13*SIN(W$15*$E47+W$16)+W$14*COS(W$15*$E47+W$16)+W$17*SIN(W$19*$E47+W$20)+W$18*COS(W$19*$E47+W$20) + W$21*SIN(W$23*$E47+W$24)+W$22*COS(W$23*$E47+W$24) + W$25*SIN(W$27*$E47+W$28) + W$26*COS(W$27*$E47+W$28)</f>
        <v>0.000638361278586293</v>
      </c>
      <c r="X47" s="0" t="n">
        <f aca="false">X$8+X$9*SIN(X$11*$E47+X$12)+X$10*COS(X$11*$E47+X$12)+X$13*SIN(X$15*$E47+X$16)+X$14*COS(X$15*$E47+X$16)+X$17*SIN(X$19*$E47+X$20)+X$18*COS(X$19*$E47+X$20) + X$21*SIN(X$23*$E47+X$24)+X$22*COS(X$23*$E47+X$24) + X$25*SIN(X$27*$E47+X$28) + X$26*COS(X$27*$E47+X$28)</f>
        <v>0.000629224369426945</v>
      </c>
      <c r="Y47" s="0" t="n">
        <f aca="false">Y$8+Y$9*SIN(Y$11*$E47+Y$12)+Y$10*COS(Y$11*$E47+Y$12)+Y$13*SIN(Y$15*$E47+Y$16)+Y$14*COS(Y$15*$E47+Y$16)+Y$17*SIN(Y$19*$E47+Y$20)+Y$18*COS(Y$19*$E47+Y$20) + Y$21*SIN(Y$23*$E47+Y$24)+Y$22*COS(Y$23*$E47+Y$24) + Y$25*SIN(Y$27*$E47+Y$28) + Y$26*COS(Y$27*$E47+Y$28)</f>
        <v>0.000591203415999558</v>
      </c>
      <c r="Z47" s="0" t="n">
        <f aca="false">Z$8+Z$9*SIN(Z$11*$E47+Z$12)+Z$10*COS(Z$11*$E47+Z$12)+Z$13*SIN(Z$15*$E47+Z$16)+Z$14*COS(Z$15*$E47+Z$16)+Z$17*SIN(Z$19*$E47+Z$20)+Z$18*COS(Z$19*$E47+Z$20) + Z$21*SIN(Z$23*$E47+Z$24)+Z$22*COS(Z$23*$E47+Z$24) + Z$25*SIN(Z$27*$E47+Z$28) + Z$26*COS(Z$27*$E47+Z$28)</f>
        <v>0.000737665539174037</v>
      </c>
      <c r="AA47" s="0" t="n">
        <f aca="false">AA$8+AA$9*SIN(AA$11*$E47+AA$12)+AA$10*COS(AA$11*$E47+AA$12)+AA$13*SIN(AA$15*$E47+AA$16)+AA$14*COS(AA$15*$E47+AA$16)+AA$17*SIN(AA$19*$E47+AA$20)+AA$18*COS(AA$19*$E47+AA$20) + AA$21*SIN(AA$23*$E47+AA$24)+AA$22*COS(AA$23*$E47+AA$24) + AA$25*SIN(AA$27*$E47+AA$28) + AA$26*COS(AA$27*$E47+AA$28)</f>
        <v>0.000716947642262778</v>
      </c>
      <c r="AB47" s="0" t="n">
        <f aca="false">AB$8+AB$9*SIN(AB$11*$E47+AB$12)+AB$10*COS(AB$11*$E47+AB$12)+AB$13*SIN(AB$15*$E47+AB$16)+AB$14*COS(AB$15*$E47+AB$16)+AB$17*SIN(AB$19*$E47+AB$20)+AB$18*COS(AB$19*$E47+AB$20) + AB$21*SIN(AB$23*$E47+AB$24)+AB$22*COS(AB$23*$E47+AB$24) + AB$25*SIN(AB$27*$E47+AB$28) + AB$26*COS(AB$27*$E47+AB$28)</f>
        <v>0.000752511285390563</v>
      </c>
      <c r="AC47" s="0" t="n">
        <f aca="false">AC$8+AC$9*SIN(AC$11*$E47+AC$12)+AC$10*COS(AC$11*$E47+AC$12)+AC$13*SIN(AC$15*$E47+AC$16)+AC$14*COS(AC$15*$E47+AC$16)+AC$17*SIN(AC$19*$E47+AC$20)+AC$18*COS(AC$19*$E47+AC$20) + AC$21*SIN(AC$23*$E47+AC$24)+AC$22*COS(AC$23*$E47+AC$24) + AC$25*SIN(AC$27*$E47+AC$28) + AC$26*COS(AC$27*$E47+AC$28)</f>
        <v>0.000685934582597002</v>
      </c>
      <c r="AJ47" s="6" t="n">
        <v>10</v>
      </c>
      <c r="AK47" s="6"/>
      <c r="AL47" s="6" t="n">
        <v>11</v>
      </c>
      <c r="AM47" s="6"/>
      <c r="AN47" s="6" t="n">
        <v>12</v>
      </c>
      <c r="AO47" s="6"/>
    </row>
    <row r="48" customFormat="false" ht="15" hidden="false" customHeight="false" outlineLevel="0" collapsed="false">
      <c r="E48" s="0" t="n">
        <v>1</v>
      </c>
      <c r="F48" s="0" t="n">
        <f aca="false">F$8+F$9*SIN(F$11*$E48+F$12)+F$10*COS(F$11*$E48+F$12)+F$13*SIN(F$15*$E48+F$16)+F$14*COS(F$15*$E48+F$16)+F$17*SIN(F$19*$E48+F$20)+F$18*COS(F$19*$E48+F$20) + F$21*SIN(F$23*$E48+F$24)+F$22*COS(F$23*$E48+F$24) + F$25*SIN(F$27*$E48+F$28) + F$26*COS(F$27*$E48+F$28)</f>
        <v>0.000756798216577893</v>
      </c>
      <c r="G48" s="0" t="n">
        <f aca="false">G$8+G$9*SIN(G$11*$E48+G$12)+G$10*COS(G$11*$E48+G$12)+G$13*SIN(G$15*$E48+G$16)+G$14*COS(G$15*$E48+G$16)+G$17*SIN(G$19*$E48+G$20)+G$18*COS(G$19*$E48+G$20) + G$21*SIN(G$23*$E48+G$24)+G$22*COS(G$23*$E48+G$24) + G$25*SIN(G$27*$E48+G$28) + G$26*COS(G$27*$E48+G$28)</f>
        <v>0.000681881690742158</v>
      </c>
      <c r="H48" s="0" t="n">
        <f aca="false">H$8+H$9*SIN(H$11*$E48+H$12)+H$10*COS(H$11*$E48+H$12)+H$13*SIN(H$15*$E48+H$16)+H$14*COS(H$15*$E48+H$16)+H$17*SIN(H$19*$E48+H$20)+H$18*COS(H$19*$E48+H$20) + H$21*SIN(H$23*$E48+H$24)+H$22*COS(H$23*$E48+H$24) + H$25*SIN(H$27*$E48+H$28) + H$26*COS(H$27*$E48+H$28)</f>
        <v>0.000720274886730996</v>
      </c>
      <c r="I48" s="0" t="n">
        <f aca="false">I$8+I$9*SIN(I$11*$E48+I$12)+I$10*COS(I$11*$E48+I$12)+I$13*SIN(I$15*$E48+I$16)+I$14*COS(I$15*$E48+I$16)+I$17*SIN(I$19*$E48+I$20)+I$18*COS(I$19*$E48+I$20) + I$21*SIN(I$23*$E48+I$24)+I$22*COS(I$23*$E48+I$24) + I$25*SIN(I$27*$E48+I$28) + I$26*COS(I$27*$E48+I$28)</f>
        <v>0.000703693751467124</v>
      </c>
      <c r="J48" s="0" t="n">
        <f aca="false">J$8+J$9*SIN(J$11*$E48+J$12)+J$10*COS(J$11*$E48+J$12)+J$13*SIN(J$15*$E48+J$16)+J$14*COS(J$15*$E48+J$16)+J$17*SIN(J$19*$E48+J$20)+J$18*COS(J$19*$E48+J$20) + J$21*SIN(J$23*$E48+J$24)+J$22*COS(J$23*$E48+J$24) + J$25*SIN(J$27*$E48+J$28) + J$26*COS(J$27*$E48+J$28)</f>
        <v>0.000819299979893414</v>
      </c>
      <c r="K48" s="0" t="n">
        <f aca="false">K$8+K$9*SIN(K$11*$E48+K$12)+K$10*COS(K$11*$E48+K$12)+K$13*SIN(K$15*$E48+K$16)+K$14*COS(K$15*$E48+K$16)+K$17*SIN(K$19*$E48+K$20)+K$18*COS(K$19*$E48+K$20) + K$21*SIN(K$23*$E48+K$24)+K$22*COS(K$23*$E48+K$24) + K$25*SIN(K$27*$E48+K$28) + K$26*COS(K$27*$E48+K$28)</f>
        <v>0.000603674217953171</v>
      </c>
      <c r="L48" s="0" t="n">
        <f aca="false">L$8+L$9*SIN(L$11*$E48+L$12)+L$10*COS(L$11*$E48+L$12)+L$13*SIN(L$15*$E48+L$16)+L$14*COS(L$15*$E48+L$16)+L$17*SIN(L$19*$E48+L$20)+L$18*COS(L$19*$E48+L$20) + L$21*SIN(L$23*$E48+L$24)+L$22*COS(L$23*$E48+L$24) + L$25*SIN(L$27*$E48+L$28) + L$26*COS(L$27*$E48+L$28)</f>
        <v>0.00071112199809855</v>
      </c>
      <c r="M48" s="0" t="n">
        <f aca="false">M$8+M$9*SIN(M$11*$E48+M$12)+M$10*COS(M$11*$E48+M$12)+M$13*SIN(M$15*$E48+M$16)+M$14*COS(M$15*$E48+M$16)+M$17*SIN(M$19*$E48+M$20)+M$18*COS(M$19*$E48+M$20) + M$21*SIN(M$23*$E48+M$24)+M$22*COS(M$23*$E48+M$24) + M$25*SIN(M$27*$E48+M$28) + M$26*COS(M$27*$E48+M$28)</f>
        <v>0.00065081975983105</v>
      </c>
      <c r="N48" s="0" t="n">
        <f aca="false">N$8+N$9*SIN(N$11*$E48+N$12)+N$10*COS(N$11*$E48+N$12)+N$13*SIN(N$15*$E48+N$16)+N$14*COS(N$15*$E48+N$16)+N$17*SIN(N$19*$E48+N$20)+N$18*COS(N$19*$E48+N$20) + N$21*SIN(N$23*$E48+N$24)+N$22*COS(N$23*$E48+N$24) + N$25*SIN(N$27*$E48+N$28) + N$26*COS(N$27*$E48+N$28)</f>
        <v>0.000635388183014479</v>
      </c>
      <c r="O48" s="0" t="n">
        <f aca="false">O$8+O$9*SIN(O$11*$E48+O$12)+O$10*COS(O$11*$E48+O$12)+O$13*SIN(O$15*$E48+O$16)+O$14*COS(O$15*$E48+O$16)+O$17*SIN(O$19*$E48+O$20)+O$18*COS(O$19*$E48+O$20) + O$21*SIN(O$23*$E48+O$24)+O$22*COS(O$23*$E48+O$24) + O$25*SIN(O$27*$E48+O$28) + O$26*COS(O$27*$E48+O$28)</f>
        <v>0.00062604041742279</v>
      </c>
      <c r="P48" s="0" t="n">
        <f aca="false">P$8+P$9*SIN(P$11*$E48+P$12)+P$10*COS(P$11*$E48+P$12)+P$13*SIN(P$15*$E48+P$16)+P$14*COS(P$15*$E48+P$16)+P$17*SIN(P$19*$E48+P$20)+P$18*COS(P$19*$E48+P$20) + P$21*SIN(P$23*$E48+P$24)+P$22*COS(P$23*$E48+P$24) + P$25*SIN(P$27*$E48+P$28) + P$26*COS(P$27*$E48+P$28)</f>
        <v>0.000612591391679358</v>
      </c>
      <c r="Q48" s="0" t="n">
        <f aca="false">Q$8+Q$9*SIN(Q$11*$E48+Q$12)+Q$10*COS(Q$11*$E48+Q$12)+Q$13*SIN(Q$15*$E48+Q$16)+Q$14*COS(Q$15*$E48+Q$16)+Q$17*SIN(Q$19*$E48+Q$20)+Q$18*COS(Q$19*$E48+Q$20) + Q$21*SIN(Q$23*$E48+Q$24)+Q$22*COS(Q$23*$E48+Q$24) + Q$25*SIN(Q$27*$E48+Q$28) + Q$26*COS(Q$27*$E48+Q$28)</f>
        <v>0.000623215551272356</v>
      </c>
      <c r="R48" s="0" t="n">
        <f aca="false">R$8+R$9*SIN(R$11*$E48+R$12)+R$10*COS(R$11*$E48+R$12)+R$13*SIN(R$15*$E48+R$16)+R$14*COS(R$15*$E48+R$16)+R$17*SIN(R$19*$E48+R$20)+R$18*COS(R$19*$E48+R$20) + R$21*SIN(R$23*$E48+R$24)+R$22*COS(R$23*$E48+R$24) + R$25*SIN(R$27*$E48+R$28) + R$26*COS(R$27*$E48+R$28)</f>
        <v>0.000819281026573467</v>
      </c>
      <c r="S48" s="0" t="n">
        <f aca="false">S$8+S$9*SIN(S$11*$E48+S$12)+S$10*COS(S$11*$E48+S$12)+S$13*SIN(S$15*$E48+S$16)+S$14*COS(S$15*$E48+S$16)+S$17*SIN(S$19*$E48+S$20)+S$18*COS(S$19*$E48+S$20) + S$21*SIN(S$23*$E48+S$24)+S$22*COS(S$23*$E48+S$24) + S$25*SIN(S$27*$E48+S$28) + S$26*COS(S$27*$E48+S$28)</f>
        <v>0.000606903384219165</v>
      </c>
      <c r="T48" s="0" t="n">
        <f aca="false">T$8+T$9*SIN(T$11*$E48+T$12)+T$10*COS(T$11*$E48+T$12)+T$13*SIN(T$15*$E48+T$16)+T$14*COS(T$15*$E48+T$16)+T$17*SIN(T$19*$E48+T$20)+T$18*COS(T$19*$E48+T$20) + T$21*SIN(T$23*$E48+T$24)+T$22*COS(T$23*$E48+T$24) + T$25*SIN(T$27*$E48+T$28) + T$26*COS(T$27*$E48+T$28)</f>
        <v>0.000619906765525672</v>
      </c>
      <c r="U48" s="0" t="n">
        <f aca="false">U$8+U$9*SIN(U$11*$E48+U$12)+U$10*COS(U$11*$E48+U$12)+U$13*SIN(U$15*$E48+U$16)+U$14*COS(U$15*$E48+U$16)+U$17*SIN(U$19*$E48+U$20)+U$18*COS(U$19*$E48+U$20) + U$21*SIN(U$23*$E48+U$24)+U$22*COS(U$23*$E48+U$24) + U$25*SIN(U$27*$E48+U$28) + U$26*COS(U$27*$E48+U$28)</f>
        <v>0.000622090468758763</v>
      </c>
      <c r="V48" s="0" t="n">
        <f aca="false">V$8+V$9*SIN(V$11*$E48+V$12)+V$10*COS(V$11*$E48+V$12)+V$13*SIN(V$15*$E48+V$16)+V$14*COS(V$15*$E48+V$16)+V$17*SIN(V$19*$E48+V$20)+V$18*COS(V$19*$E48+V$20) + V$21*SIN(V$23*$E48+V$24)+V$22*COS(V$23*$E48+V$24) + V$25*SIN(V$27*$E48+V$28) + V$26*COS(V$27*$E48+V$28)</f>
        <v>0.000596748851358823</v>
      </c>
      <c r="W48" s="0" t="n">
        <f aca="false">W$8+W$9*SIN(W$11*$E48+W$12)+W$10*COS(W$11*$E48+W$12)+W$13*SIN(W$15*$E48+W$16)+W$14*COS(W$15*$E48+W$16)+W$17*SIN(W$19*$E48+W$20)+W$18*COS(W$19*$E48+W$20) + W$21*SIN(W$23*$E48+W$24)+W$22*COS(W$23*$E48+W$24) + W$25*SIN(W$27*$E48+W$28) + W$26*COS(W$27*$E48+W$28)</f>
        <v>0.000568129961369963</v>
      </c>
      <c r="X48" s="0" t="n">
        <f aca="false">X$8+X$9*SIN(X$11*$E48+X$12)+X$10*COS(X$11*$E48+X$12)+X$13*SIN(X$15*$E48+X$16)+X$14*COS(X$15*$E48+X$16)+X$17*SIN(X$19*$E48+X$20)+X$18*COS(X$19*$E48+X$20) + X$21*SIN(X$23*$E48+X$24)+X$22*COS(X$23*$E48+X$24) + X$25*SIN(X$27*$E48+X$28) + X$26*COS(X$27*$E48+X$28)</f>
        <v>0.000611427721933981</v>
      </c>
      <c r="Y48" s="0" t="n">
        <f aca="false">Y$8+Y$9*SIN(Y$11*$E48+Y$12)+Y$10*COS(Y$11*$E48+Y$12)+Y$13*SIN(Y$15*$E48+Y$16)+Y$14*COS(Y$15*$E48+Y$16)+Y$17*SIN(Y$19*$E48+Y$20)+Y$18*COS(Y$19*$E48+Y$20) + Y$21*SIN(Y$23*$E48+Y$24)+Y$22*COS(Y$23*$E48+Y$24) + Y$25*SIN(Y$27*$E48+Y$28) + Y$26*COS(Y$27*$E48+Y$28)</f>
        <v>0.000562590545568888</v>
      </c>
      <c r="Z48" s="0" t="n">
        <f aca="false">Z$8+Z$9*SIN(Z$11*$E48+Z$12)+Z$10*COS(Z$11*$E48+Z$12)+Z$13*SIN(Z$15*$E48+Z$16)+Z$14*COS(Z$15*$E48+Z$16)+Z$17*SIN(Z$19*$E48+Z$20)+Z$18*COS(Z$19*$E48+Z$20) + Z$21*SIN(Z$23*$E48+Z$24)+Z$22*COS(Z$23*$E48+Z$24) + Z$25*SIN(Z$27*$E48+Z$28) + Z$26*COS(Z$27*$E48+Z$28)</f>
        <v>0.000698735636811605</v>
      </c>
      <c r="AA48" s="0" t="n">
        <f aca="false">AA$8+AA$9*SIN(AA$11*$E48+AA$12)+AA$10*COS(AA$11*$E48+AA$12)+AA$13*SIN(AA$15*$E48+AA$16)+AA$14*COS(AA$15*$E48+AA$16)+AA$17*SIN(AA$19*$E48+AA$20)+AA$18*COS(AA$19*$E48+AA$20) + AA$21*SIN(AA$23*$E48+AA$24)+AA$22*COS(AA$23*$E48+AA$24) + AA$25*SIN(AA$27*$E48+AA$28) + AA$26*COS(AA$27*$E48+AA$28)</f>
        <v>0.000716910428013216</v>
      </c>
      <c r="AB48" s="0" t="n">
        <f aca="false">AB$8+AB$9*SIN(AB$11*$E48+AB$12)+AB$10*COS(AB$11*$E48+AB$12)+AB$13*SIN(AB$15*$E48+AB$16)+AB$14*COS(AB$15*$E48+AB$16)+AB$17*SIN(AB$19*$E48+AB$20)+AB$18*COS(AB$19*$E48+AB$20) + AB$21*SIN(AB$23*$E48+AB$24)+AB$22*COS(AB$23*$E48+AB$24) + AB$25*SIN(AB$27*$E48+AB$28) + AB$26*COS(AB$27*$E48+AB$28)</f>
        <v>0.000730076537650344</v>
      </c>
      <c r="AC48" s="0" t="n">
        <f aca="false">AC$8+AC$9*SIN(AC$11*$E48+AC$12)+AC$10*COS(AC$11*$E48+AC$12)+AC$13*SIN(AC$15*$E48+AC$16)+AC$14*COS(AC$15*$E48+AC$16)+AC$17*SIN(AC$19*$E48+AC$20)+AC$18*COS(AC$19*$E48+AC$20) + AC$21*SIN(AC$23*$E48+AC$24)+AC$22*COS(AC$23*$E48+AC$24) + AC$25*SIN(AC$27*$E48+AC$28) + AC$26*COS(AC$27*$E48+AC$28)</f>
        <v>0.000616407610078596</v>
      </c>
      <c r="AJ48" s="5" t="s">
        <v>489</v>
      </c>
      <c r="AK48" s="5" t="s">
        <v>490</v>
      </c>
      <c r="AL48" s="5" t="s">
        <v>489</v>
      </c>
      <c r="AM48" s="5" t="s">
        <v>490</v>
      </c>
      <c r="AN48" s="5" t="s">
        <v>489</v>
      </c>
      <c r="AO48" s="5" t="s">
        <v>490</v>
      </c>
    </row>
    <row r="49" customFormat="false" ht="15" hidden="false" customHeight="false" outlineLevel="0" collapsed="false">
      <c r="E49" s="0" t="n">
        <v>2</v>
      </c>
      <c r="F49" s="0" t="n">
        <f aca="false">F$8+F$9*SIN(F$11*$E49+F$12)+F$10*COS(F$11*$E49+F$12)+F$13*SIN(F$15*$E49+F$16)+F$14*COS(F$15*$E49+F$16)+F$17*SIN(F$19*$E49+F$20)+F$18*COS(F$19*$E49+F$20) + F$21*SIN(F$23*$E49+F$24)+F$22*COS(F$23*$E49+F$24) + F$25*SIN(F$27*$E49+F$28) + F$26*COS(F$27*$E49+F$28)</f>
        <v>0.000708371994888696</v>
      </c>
      <c r="G49" s="0" t="n">
        <f aca="false">G$8+G$9*SIN(G$11*$E49+G$12)+G$10*COS(G$11*$E49+G$12)+G$13*SIN(G$15*$E49+G$16)+G$14*COS(G$15*$E49+G$16)+G$17*SIN(G$19*$E49+G$20)+G$18*COS(G$19*$E49+G$20) + G$21*SIN(G$23*$E49+G$24)+G$22*COS(G$23*$E49+G$24) + G$25*SIN(G$27*$E49+G$28) + G$26*COS(G$27*$E49+G$28)</f>
        <v>0.000629707650090568</v>
      </c>
      <c r="H49" s="0" t="n">
        <f aca="false">H$8+H$9*SIN(H$11*$E49+H$12)+H$10*COS(H$11*$E49+H$12)+H$13*SIN(H$15*$E49+H$16)+H$14*COS(H$15*$E49+H$16)+H$17*SIN(H$19*$E49+H$20)+H$18*COS(H$19*$E49+H$20) + H$21*SIN(H$23*$E49+H$24)+H$22*COS(H$23*$E49+H$24) + H$25*SIN(H$27*$E49+H$28) + H$26*COS(H$27*$E49+H$28)</f>
        <v>0.000678411585138046</v>
      </c>
      <c r="I49" s="0" t="n">
        <f aca="false">I$8+I$9*SIN(I$11*$E49+I$12)+I$10*COS(I$11*$E49+I$12)+I$13*SIN(I$15*$E49+I$16)+I$14*COS(I$15*$E49+I$16)+I$17*SIN(I$19*$E49+I$20)+I$18*COS(I$19*$E49+I$20) + I$21*SIN(I$23*$E49+I$24)+I$22*COS(I$23*$E49+I$24) + I$25*SIN(I$27*$E49+I$28) + I$26*COS(I$27*$E49+I$28)</f>
        <v>0.000659373707834116</v>
      </c>
      <c r="J49" s="0" t="n">
        <f aca="false">J$8+J$9*SIN(J$11*$E49+J$12)+J$10*COS(J$11*$E49+J$12)+J$13*SIN(J$15*$E49+J$16)+J$14*COS(J$15*$E49+J$16)+J$17*SIN(J$19*$E49+J$20)+J$18*COS(J$19*$E49+J$20) + J$21*SIN(J$23*$E49+J$24)+J$22*COS(J$23*$E49+J$24) + J$25*SIN(J$27*$E49+J$28) + J$26*COS(J$27*$E49+J$28)</f>
        <v>0.000819296050477124</v>
      </c>
      <c r="K49" s="0" t="n">
        <f aca="false">K$8+K$9*SIN(K$11*$E49+K$12)+K$10*COS(K$11*$E49+K$12)+K$13*SIN(K$15*$E49+K$16)+K$14*COS(K$15*$E49+K$16)+K$17*SIN(K$19*$E49+K$20)+K$18*COS(K$19*$E49+K$20) + K$21*SIN(K$23*$E49+K$24)+K$22*COS(K$23*$E49+K$24) + K$25*SIN(K$27*$E49+K$28) + K$26*COS(K$27*$E49+K$28)</f>
        <v>0.000562318065291728</v>
      </c>
      <c r="L49" s="0" t="n">
        <f aca="false">L$8+L$9*SIN(L$11*$E49+L$12)+L$10*COS(L$11*$E49+L$12)+L$13*SIN(L$15*$E49+L$16)+L$14*COS(L$15*$E49+L$16)+L$17*SIN(L$19*$E49+L$20)+L$18*COS(L$19*$E49+L$20) + L$21*SIN(L$23*$E49+L$24)+L$22*COS(L$23*$E49+L$24) + L$25*SIN(L$27*$E49+L$28) + L$26*COS(L$27*$E49+L$28)</f>
        <v>0.000677053655158466</v>
      </c>
      <c r="M49" s="0" t="n">
        <f aca="false">M$8+M$9*SIN(M$11*$E49+M$12)+M$10*COS(M$11*$E49+M$12)+M$13*SIN(M$15*$E49+M$16)+M$14*COS(M$15*$E49+M$16)+M$17*SIN(M$19*$E49+M$20)+M$18*COS(M$19*$E49+M$20) + M$21*SIN(M$23*$E49+M$24)+M$22*COS(M$23*$E49+M$24) + M$25*SIN(M$27*$E49+M$28) + M$26*COS(M$27*$E49+M$28)</f>
        <v>0.000599132567759264</v>
      </c>
      <c r="N49" s="0" t="n">
        <f aca="false">N$8+N$9*SIN(N$11*$E49+N$12)+N$10*COS(N$11*$E49+N$12)+N$13*SIN(N$15*$E49+N$16)+N$14*COS(N$15*$E49+N$16)+N$17*SIN(N$19*$E49+N$20)+N$18*COS(N$19*$E49+N$20) + N$21*SIN(N$23*$E49+N$24)+N$22*COS(N$23*$E49+N$24) + N$25*SIN(N$27*$E49+N$28) + N$26*COS(N$27*$E49+N$28)</f>
        <v>0.000639357923519715</v>
      </c>
      <c r="O49" s="0" t="n">
        <f aca="false">O$8+O$9*SIN(O$11*$E49+O$12)+O$10*COS(O$11*$E49+O$12)+O$13*SIN(O$15*$E49+O$16)+O$14*COS(O$15*$E49+O$16)+O$17*SIN(O$19*$E49+O$20)+O$18*COS(O$19*$E49+O$20) + O$21*SIN(O$23*$E49+O$24)+O$22*COS(O$23*$E49+O$24) + O$25*SIN(O$27*$E49+O$28) + O$26*COS(O$27*$E49+O$28)</f>
        <v>0.000567482046780247</v>
      </c>
      <c r="P49" s="0" t="n">
        <f aca="false">P$8+P$9*SIN(P$11*$E49+P$12)+P$10*COS(P$11*$E49+P$12)+P$13*SIN(P$15*$E49+P$16)+P$14*COS(P$15*$E49+P$16)+P$17*SIN(P$19*$E49+P$20)+P$18*COS(P$19*$E49+P$20) + P$21*SIN(P$23*$E49+P$24)+P$22*COS(P$23*$E49+P$24) + P$25*SIN(P$27*$E49+P$28) + P$26*COS(P$27*$E49+P$28)</f>
        <v>0.000602575016022016</v>
      </c>
      <c r="Q49" s="0" t="n">
        <f aca="false">Q$8+Q$9*SIN(Q$11*$E49+Q$12)+Q$10*COS(Q$11*$E49+Q$12)+Q$13*SIN(Q$15*$E49+Q$16)+Q$14*COS(Q$15*$E49+Q$16)+Q$17*SIN(Q$19*$E49+Q$20)+Q$18*COS(Q$19*$E49+Q$20) + Q$21*SIN(Q$23*$E49+Q$24)+Q$22*COS(Q$23*$E49+Q$24) + Q$25*SIN(Q$27*$E49+Q$28) + Q$26*COS(Q$27*$E49+Q$28)</f>
        <v>0.000604026054496723</v>
      </c>
      <c r="R49" s="0" t="n">
        <f aca="false">R$8+R$9*SIN(R$11*$E49+R$12)+R$10*COS(R$11*$E49+R$12)+R$13*SIN(R$15*$E49+R$16)+R$14*COS(R$15*$E49+R$16)+R$17*SIN(R$19*$E49+R$20)+R$18*COS(R$19*$E49+R$20) + R$21*SIN(R$23*$E49+R$24)+R$22*COS(R$23*$E49+R$24) + R$25*SIN(R$27*$E49+R$28) + R$26*COS(R$27*$E49+R$28)</f>
        <v>0.000819276865106934</v>
      </c>
      <c r="S49" s="0" t="n">
        <f aca="false">S$8+S$9*SIN(S$11*$E49+S$12)+S$10*COS(S$11*$E49+S$12)+S$13*SIN(S$15*$E49+S$16)+S$14*COS(S$15*$E49+S$16)+S$17*SIN(S$19*$E49+S$20)+S$18*COS(S$19*$E49+S$20) + S$21*SIN(S$23*$E49+S$24)+S$22*COS(S$23*$E49+S$24) + S$25*SIN(S$27*$E49+S$28) + S$26*COS(S$27*$E49+S$28)</f>
        <v>0.000583080050698403</v>
      </c>
      <c r="T49" s="0" t="n">
        <f aca="false">T$8+T$9*SIN(T$11*$E49+T$12)+T$10*COS(T$11*$E49+T$12)+T$13*SIN(T$15*$E49+T$16)+T$14*COS(T$15*$E49+T$16)+T$17*SIN(T$19*$E49+T$20)+T$18*COS(T$19*$E49+T$20) + T$21*SIN(T$23*$E49+T$24)+T$22*COS(T$23*$E49+T$24) + T$25*SIN(T$27*$E49+T$28) + T$26*COS(T$27*$E49+T$28)</f>
        <v>0.000609328962887958</v>
      </c>
      <c r="U49" s="0" t="n">
        <f aca="false">U$8+U$9*SIN(U$11*$E49+U$12)+U$10*COS(U$11*$E49+U$12)+U$13*SIN(U$15*$E49+U$16)+U$14*COS(U$15*$E49+U$16)+U$17*SIN(U$19*$E49+U$20)+U$18*COS(U$19*$E49+U$20) + U$21*SIN(U$23*$E49+U$24)+U$22*COS(U$23*$E49+U$24) + U$25*SIN(U$27*$E49+U$28) + U$26*COS(U$27*$E49+U$28)</f>
        <v>0.000586275156336142</v>
      </c>
      <c r="V49" s="0" t="n">
        <f aca="false">V$8+V$9*SIN(V$11*$E49+V$12)+V$10*COS(V$11*$E49+V$12)+V$13*SIN(V$15*$E49+V$16)+V$14*COS(V$15*$E49+V$16)+V$17*SIN(V$19*$E49+V$20)+V$18*COS(V$19*$E49+V$20) + V$21*SIN(V$23*$E49+V$24)+V$22*COS(V$23*$E49+V$24) + V$25*SIN(V$27*$E49+V$28) + V$26*COS(V$27*$E49+V$28)</f>
        <v>0.000557865819439995</v>
      </c>
      <c r="W49" s="0" t="n">
        <f aca="false">W$8+W$9*SIN(W$11*$E49+W$12)+W$10*COS(W$11*$E49+W$12)+W$13*SIN(W$15*$E49+W$16)+W$14*COS(W$15*$E49+W$16)+W$17*SIN(W$19*$E49+W$20)+W$18*COS(W$19*$E49+W$20) + W$21*SIN(W$23*$E49+W$24)+W$22*COS(W$23*$E49+W$24) + W$25*SIN(W$27*$E49+W$28) + W$26*COS(W$27*$E49+W$28)</f>
        <v>0.000578515262455387</v>
      </c>
      <c r="X49" s="0" t="n">
        <f aca="false">X$8+X$9*SIN(X$11*$E49+X$12)+X$10*COS(X$11*$E49+X$12)+X$13*SIN(X$15*$E49+X$16)+X$14*COS(X$15*$E49+X$16)+X$17*SIN(X$19*$E49+X$20)+X$18*COS(X$19*$E49+X$20) + X$21*SIN(X$23*$E49+X$24)+X$22*COS(X$23*$E49+X$24) + X$25*SIN(X$27*$E49+X$28) + X$26*COS(X$27*$E49+X$28)</f>
        <v>0.000607835785336694</v>
      </c>
      <c r="Y49" s="0" t="n">
        <f aca="false">Y$8+Y$9*SIN(Y$11*$E49+Y$12)+Y$10*COS(Y$11*$E49+Y$12)+Y$13*SIN(Y$15*$E49+Y$16)+Y$14*COS(Y$15*$E49+Y$16)+Y$17*SIN(Y$19*$E49+Y$20)+Y$18*COS(Y$19*$E49+Y$20) + Y$21*SIN(Y$23*$E49+Y$24)+Y$22*COS(Y$23*$E49+Y$24) + Y$25*SIN(Y$27*$E49+Y$28) + Y$26*COS(Y$27*$E49+Y$28)</f>
        <v>0.000544983972293504</v>
      </c>
      <c r="Z49" s="0" t="n">
        <f aca="false">Z$8+Z$9*SIN(Z$11*$E49+Z$12)+Z$10*COS(Z$11*$E49+Z$12)+Z$13*SIN(Z$15*$E49+Z$16)+Z$14*COS(Z$15*$E49+Z$16)+Z$17*SIN(Z$19*$E49+Z$20)+Z$18*COS(Z$19*$E49+Z$20) + Z$21*SIN(Z$23*$E49+Z$24)+Z$22*COS(Z$23*$E49+Z$24) + Z$25*SIN(Z$27*$E49+Z$28) + Z$26*COS(Z$27*$E49+Z$28)</f>
        <v>0.000667293110730327</v>
      </c>
      <c r="AA49" s="0" t="n">
        <f aca="false">AA$8+AA$9*SIN(AA$11*$E49+AA$12)+AA$10*COS(AA$11*$E49+AA$12)+AA$13*SIN(AA$15*$E49+AA$16)+AA$14*COS(AA$15*$E49+AA$16)+AA$17*SIN(AA$19*$E49+AA$20)+AA$18*COS(AA$19*$E49+AA$20) + AA$21*SIN(AA$23*$E49+AA$24)+AA$22*COS(AA$23*$E49+AA$24) + AA$25*SIN(AA$27*$E49+AA$28) + AA$26*COS(AA$27*$E49+AA$28)</f>
        <v>0.000716884655801889</v>
      </c>
      <c r="AB49" s="0" t="n">
        <f aca="false">AB$8+AB$9*SIN(AB$11*$E49+AB$12)+AB$10*COS(AB$11*$E49+AB$12)+AB$13*SIN(AB$15*$E49+AB$16)+AB$14*COS(AB$15*$E49+AB$16)+AB$17*SIN(AB$19*$E49+AB$20)+AB$18*COS(AB$19*$E49+AB$20) + AB$21*SIN(AB$23*$E49+AB$24)+AB$22*COS(AB$23*$E49+AB$24) + AB$25*SIN(AB$27*$E49+AB$28) + AB$26*COS(AB$27*$E49+AB$28)</f>
        <v>0.000709211111463885</v>
      </c>
      <c r="AC49" s="0" t="n">
        <f aca="false">AC$8+AC$9*SIN(AC$11*$E49+AC$12)+AC$10*COS(AC$11*$E49+AC$12)+AC$13*SIN(AC$15*$E49+AC$16)+AC$14*COS(AC$15*$E49+AC$16)+AC$17*SIN(AC$19*$E49+AC$20)+AC$18*COS(AC$19*$E49+AC$20) + AC$21*SIN(AC$23*$E49+AC$24)+AC$22*COS(AC$23*$E49+AC$24) + AC$25*SIN(AC$27*$E49+AC$28) + AC$26*COS(AC$27*$E49+AC$28)</f>
        <v>0.000597014629026099</v>
      </c>
      <c r="AJ49" s="5" t="n">
        <v>-0.676</v>
      </c>
      <c r="AK49" s="5" t="n">
        <v>-0.455</v>
      </c>
      <c r="AL49" s="5" t="n">
        <v>-0.385</v>
      </c>
      <c r="AM49" s="5" t="n">
        <v>-0.428</v>
      </c>
      <c r="AN49" s="5" t="n">
        <v>-0.454</v>
      </c>
      <c r="AO49" s="5" t="n">
        <v>-0.504</v>
      </c>
    </row>
    <row r="50" customFormat="false" ht="15" hidden="false" customHeight="false" outlineLevel="0" collapsed="false">
      <c r="E50" s="0" t="n">
        <v>3</v>
      </c>
      <c r="F50" s="0" t="n">
        <f aca="false">F$8+F$9*SIN(F$11*$E50+F$12)+F$10*COS(F$11*$E50+F$12)+F$13*SIN(F$15*$E50+F$16)+F$14*COS(F$15*$E50+F$16)+F$17*SIN(F$19*$E50+F$20)+F$18*COS(F$19*$E50+F$20) + F$21*SIN(F$23*$E50+F$24)+F$22*COS(F$23*$E50+F$24) + F$25*SIN(F$27*$E50+F$28) + F$26*COS(F$27*$E50+F$28)</f>
        <v>0.000682399150133049</v>
      </c>
      <c r="G50" s="0" t="n">
        <f aca="false">G$8+G$9*SIN(G$11*$E50+G$12)+G$10*COS(G$11*$E50+G$12)+G$13*SIN(G$15*$E50+G$16)+G$14*COS(G$15*$E50+G$16)+G$17*SIN(G$19*$E50+G$20)+G$18*COS(G$19*$E50+G$20) + G$21*SIN(G$23*$E50+G$24)+G$22*COS(G$23*$E50+G$24) + G$25*SIN(G$27*$E50+G$28) + G$26*COS(G$27*$E50+G$28)</f>
        <v>0.000609552791850868</v>
      </c>
      <c r="H50" s="0" t="n">
        <f aca="false">H$8+H$9*SIN(H$11*$E50+H$12)+H$10*COS(H$11*$E50+H$12)+H$13*SIN(H$15*$E50+H$16)+H$14*COS(H$15*$E50+H$16)+H$17*SIN(H$19*$E50+H$20)+H$18*COS(H$19*$E50+H$20) + H$21*SIN(H$23*$E50+H$24)+H$22*COS(H$23*$E50+H$24) + H$25*SIN(H$27*$E50+H$28) + H$26*COS(H$27*$E50+H$28)</f>
        <v>0.000647180005979126</v>
      </c>
      <c r="I50" s="0" t="n">
        <f aca="false">I$8+I$9*SIN(I$11*$E50+I$12)+I$10*COS(I$11*$E50+I$12)+I$13*SIN(I$15*$E50+I$16)+I$14*COS(I$15*$E50+I$16)+I$17*SIN(I$19*$E50+I$20)+I$18*COS(I$19*$E50+I$20) + I$21*SIN(I$23*$E50+I$24)+I$22*COS(I$23*$E50+I$24) + I$25*SIN(I$27*$E50+I$28) + I$26*COS(I$27*$E50+I$28)</f>
        <v>0.000621386232615936</v>
      </c>
      <c r="J50" s="0" t="n">
        <f aca="false">J$8+J$9*SIN(J$11*$E50+J$12)+J$10*COS(J$11*$E50+J$12)+J$13*SIN(J$15*$E50+J$16)+J$14*COS(J$15*$E50+J$16)+J$17*SIN(J$19*$E50+J$20)+J$18*COS(J$19*$E50+J$20) + J$21*SIN(J$23*$E50+J$24)+J$22*COS(J$23*$E50+J$24) + J$25*SIN(J$27*$E50+J$28) + J$26*COS(J$27*$E50+J$28)</f>
        <v>0.000819294654984498</v>
      </c>
      <c r="K50" s="0" t="n">
        <f aca="false">K$8+K$9*SIN(K$11*$E50+K$12)+K$10*COS(K$11*$E50+K$12)+K$13*SIN(K$15*$E50+K$16)+K$14*COS(K$15*$E50+K$16)+K$17*SIN(K$19*$E50+K$20)+K$18*COS(K$19*$E50+K$20) + K$21*SIN(K$23*$E50+K$24)+K$22*COS(K$23*$E50+K$24) + K$25*SIN(K$27*$E50+K$28) + K$26*COS(K$27*$E50+K$28)</f>
        <v>0.000586554971984737</v>
      </c>
      <c r="L50" s="0" t="n">
        <f aca="false">L$8+L$9*SIN(L$11*$E50+L$12)+L$10*COS(L$11*$E50+L$12)+L$13*SIN(L$15*$E50+L$16)+L$14*COS(L$15*$E50+L$16)+L$17*SIN(L$19*$E50+L$20)+L$18*COS(L$19*$E50+L$20) + L$21*SIN(L$23*$E50+L$24)+L$22*COS(L$23*$E50+L$24) + L$25*SIN(L$27*$E50+L$28) + L$26*COS(L$27*$E50+L$28)</f>
        <v>0.000673117737061721</v>
      </c>
      <c r="M50" s="0" t="n">
        <f aca="false">M$8+M$9*SIN(M$11*$E50+M$12)+M$10*COS(M$11*$E50+M$12)+M$13*SIN(M$15*$E50+M$16)+M$14*COS(M$15*$E50+M$16)+M$17*SIN(M$19*$E50+M$20)+M$18*COS(M$19*$E50+M$20) + M$21*SIN(M$23*$E50+M$24)+M$22*COS(M$23*$E50+M$24) + M$25*SIN(M$27*$E50+M$28) + M$26*COS(M$27*$E50+M$28)</f>
        <v>0.000564929282161876</v>
      </c>
      <c r="N50" s="0" t="n">
        <f aca="false">N$8+N$9*SIN(N$11*$E50+N$12)+N$10*COS(N$11*$E50+N$12)+N$13*SIN(N$15*$E50+N$16)+N$14*COS(N$15*$E50+N$16)+N$17*SIN(N$19*$E50+N$20)+N$18*COS(N$19*$E50+N$20) + N$21*SIN(N$23*$E50+N$24)+N$22*COS(N$23*$E50+N$24) + N$25*SIN(N$27*$E50+N$28) + N$26*COS(N$27*$E50+N$28)</f>
        <v>0.000603864770914513</v>
      </c>
      <c r="O50" s="0" t="n">
        <f aca="false">O$8+O$9*SIN(O$11*$E50+O$12)+O$10*COS(O$11*$E50+O$12)+O$13*SIN(O$15*$E50+O$16)+O$14*COS(O$15*$E50+O$16)+O$17*SIN(O$19*$E50+O$20)+O$18*COS(O$19*$E50+O$20) + O$21*SIN(O$23*$E50+O$24)+O$22*COS(O$23*$E50+O$24) + O$25*SIN(O$27*$E50+O$28) + O$26*COS(O$27*$E50+O$28)</f>
        <v>0.000573810353528933</v>
      </c>
      <c r="P50" s="0" t="n">
        <f aca="false">P$8+P$9*SIN(P$11*$E50+P$12)+P$10*COS(P$11*$E50+P$12)+P$13*SIN(P$15*$E50+P$16)+P$14*COS(P$15*$E50+P$16)+P$17*SIN(P$19*$E50+P$20)+P$18*COS(P$19*$E50+P$20) + P$21*SIN(P$23*$E50+P$24)+P$22*COS(P$23*$E50+P$24) + P$25*SIN(P$27*$E50+P$28) + P$26*COS(P$27*$E50+P$28)</f>
        <v>0.000593204863284302</v>
      </c>
      <c r="Q50" s="0" t="n">
        <f aca="false">Q$8+Q$9*SIN(Q$11*$E50+Q$12)+Q$10*COS(Q$11*$E50+Q$12)+Q$13*SIN(Q$15*$E50+Q$16)+Q$14*COS(Q$15*$E50+Q$16)+Q$17*SIN(Q$19*$E50+Q$20)+Q$18*COS(Q$19*$E50+Q$20) + Q$21*SIN(Q$23*$E50+Q$24)+Q$22*COS(Q$23*$E50+Q$24) + Q$25*SIN(Q$27*$E50+Q$28) + Q$26*COS(Q$27*$E50+Q$28)</f>
        <v>0.000576210175870274</v>
      </c>
      <c r="R50" s="0" t="n">
        <f aca="false">R$8+R$9*SIN(R$11*$E50+R$12)+R$10*COS(R$11*$E50+R$12)+R$13*SIN(R$15*$E50+R$16)+R$14*COS(R$15*$E50+R$16)+R$17*SIN(R$19*$E50+R$20)+R$18*COS(R$19*$E50+R$20) + R$21*SIN(R$23*$E50+R$24)+R$22*COS(R$23*$E50+R$24) + R$25*SIN(R$27*$E50+R$28) + R$26*COS(R$27*$E50+R$28)</f>
        <v>0.000819270387853502</v>
      </c>
      <c r="S50" s="0" t="n">
        <f aca="false">S$8+S$9*SIN(S$11*$E50+S$12)+S$10*COS(S$11*$E50+S$12)+S$13*SIN(S$15*$E50+S$16)+S$14*COS(S$15*$E50+S$16)+S$17*SIN(S$19*$E50+S$20)+S$18*COS(S$19*$E50+S$20) + S$21*SIN(S$23*$E50+S$24)+S$22*COS(S$23*$E50+S$24) + S$25*SIN(S$27*$E50+S$28) + S$26*COS(S$27*$E50+S$28)</f>
        <v>0.000542154105868395</v>
      </c>
      <c r="T50" s="0" t="n">
        <f aca="false">T$8+T$9*SIN(T$11*$E50+T$12)+T$10*COS(T$11*$E50+T$12)+T$13*SIN(T$15*$E50+T$16)+T$14*COS(T$15*$E50+T$16)+T$17*SIN(T$19*$E50+T$20)+T$18*COS(T$19*$E50+T$20) + T$21*SIN(T$23*$E50+T$24)+T$22*COS(T$23*$E50+T$24) + T$25*SIN(T$27*$E50+T$28) + T$26*COS(T$27*$E50+T$28)</f>
        <v>0.000588794240713463</v>
      </c>
      <c r="U50" s="0" t="n">
        <f aca="false">U$8+U$9*SIN(U$11*$E50+U$12)+U$10*COS(U$11*$E50+U$12)+U$13*SIN(U$15*$E50+U$16)+U$14*COS(U$15*$E50+U$16)+U$17*SIN(U$19*$E50+U$20)+U$18*COS(U$19*$E50+U$20) + U$21*SIN(U$23*$E50+U$24)+U$22*COS(U$23*$E50+U$24) + U$25*SIN(U$27*$E50+U$28) + U$26*COS(U$27*$E50+U$28)</f>
        <v>0.000542564885118976</v>
      </c>
      <c r="V50" s="0" t="n">
        <f aca="false">V$8+V$9*SIN(V$11*$E50+V$12)+V$10*COS(V$11*$E50+V$12)+V$13*SIN(V$15*$E50+V$16)+V$14*COS(V$15*$E50+V$16)+V$17*SIN(V$19*$E50+V$20)+V$18*COS(V$19*$E50+V$20) + V$21*SIN(V$23*$E50+V$24)+V$22*COS(V$23*$E50+V$24) + V$25*SIN(V$27*$E50+V$28) + V$26*COS(V$27*$E50+V$28)</f>
        <v>0.000536016626544274</v>
      </c>
      <c r="W50" s="0" t="n">
        <f aca="false">W$8+W$9*SIN(W$11*$E50+W$12)+W$10*COS(W$11*$E50+W$12)+W$13*SIN(W$15*$E50+W$16)+W$14*COS(W$15*$E50+W$16)+W$17*SIN(W$19*$E50+W$20)+W$18*COS(W$19*$E50+W$20) + W$21*SIN(W$23*$E50+W$24)+W$22*COS(W$23*$E50+W$24) + W$25*SIN(W$27*$E50+W$28) + W$26*COS(W$27*$E50+W$28)</f>
        <v>0.000522554426359415</v>
      </c>
      <c r="X50" s="0" t="n">
        <f aca="false">X$8+X$9*SIN(X$11*$E50+X$12)+X$10*COS(X$11*$E50+X$12)+X$13*SIN(X$15*$E50+X$16)+X$14*COS(X$15*$E50+X$16)+X$17*SIN(X$19*$E50+X$20)+X$18*COS(X$19*$E50+X$20) + X$21*SIN(X$23*$E50+X$24)+X$22*COS(X$23*$E50+X$24) + X$25*SIN(X$27*$E50+X$28) + X$26*COS(X$27*$E50+X$28)</f>
        <v>0.000607977393244196</v>
      </c>
      <c r="Y50" s="0" t="n">
        <f aca="false">Y$8+Y$9*SIN(Y$11*$E50+Y$12)+Y$10*COS(Y$11*$E50+Y$12)+Y$13*SIN(Y$15*$E50+Y$16)+Y$14*COS(Y$15*$E50+Y$16)+Y$17*SIN(Y$19*$E50+Y$20)+Y$18*COS(Y$19*$E50+Y$20) + Y$21*SIN(Y$23*$E50+Y$24)+Y$22*COS(Y$23*$E50+Y$24) + Y$25*SIN(Y$27*$E50+Y$28) + Y$26*COS(Y$27*$E50+Y$28)</f>
        <v>0.000526774414483029</v>
      </c>
      <c r="Z50" s="0" t="n">
        <f aca="false">Z$8+Z$9*SIN(Z$11*$E50+Z$12)+Z$10*COS(Z$11*$E50+Z$12)+Z$13*SIN(Z$15*$E50+Z$16)+Z$14*COS(Z$15*$E50+Z$16)+Z$17*SIN(Z$19*$E50+Z$20)+Z$18*COS(Z$19*$E50+Z$20) + Z$21*SIN(Z$23*$E50+Z$24)+Z$22*COS(Z$23*$E50+Z$24) + Z$25*SIN(Z$27*$E50+Z$28) + Z$26*COS(Z$27*$E50+Z$28)</f>
        <v>0.000668620840445256</v>
      </c>
      <c r="AA50" s="0" t="n">
        <f aca="false">AA$8+AA$9*SIN(AA$11*$E50+AA$12)+AA$10*COS(AA$11*$E50+AA$12)+AA$13*SIN(AA$15*$E50+AA$16)+AA$14*COS(AA$15*$E50+AA$16)+AA$17*SIN(AA$19*$E50+AA$20)+AA$18*COS(AA$19*$E50+AA$20) + AA$21*SIN(AA$23*$E50+AA$24)+AA$22*COS(AA$23*$E50+AA$24) + AA$25*SIN(AA$27*$E50+AA$28) + AA$26*COS(AA$27*$E50+AA$28)</f>
        <v>0.000716809073657694</v>
      </c>
      <c r="AB50" s="0" t="n">
        <f aca="false">AB$8+AB$9*SIN(AB$11*$E50+AB$12)+AB$10*COS(AB$11*$E50+AB$12)+AB$13*SIN(AB$15*$E50+AB$16)+AB$14*COS(AB$15*$E50+AB$16)+AB$17*SIN(AB$19*$E50+AB$20)+AB$18*COS(AB$19*$E50+AB$20) + AB$21*SIN(AB$23*$E50+AB$24)+AB$22*COS(AB$23*$E50+AB$24) + AB$25*SIN(AB$27*$E50+AB$28) + AB$26*COS(AB$27*$E50+AB$28)</f>
        <v>0.000690369669452887</v>
      </c>
      <c r="AC50" s="0" t="n">
        <f aca="false">AC$8+AC$9*SIN(AC$11*$E50+AC$12)+AC$10*COS(AC$11*$E50+AC$12)+AC$13*SIN(AC$15*$E50+AC$16)+AC$14*COS(AC$15*$E50+AC$16)+AC$17*SIN(AC$19*$E50+AC$20)+AC$18*COS(AC$19*$E50+AC$20) + AC$21*SIN(AC$23*$E50+AC$24)+AC$22*COS(AC$23*$E50+AC$24) + AC$25*SIN(AC$27*$E50+AC$28) + AC$26*COS(AC$27*$E50+AC$28)</f>
        <v>0.000619888380566223</v>
      </c>
      <c r="AJ50" s="5" t="n">
        <v>-0.755</v>
      </c>
      <c r="AK50" s="5" t="n">
        <v>-0.439</v>
      </c>
      <c r="AL50" s="5" t="n">
        <v>-0.518</v>
      </c>
      <c r="AM50" s="5" t="n">
        <v>-0.134</v>
      </c>
      <c r="AN50" s="5" t="n">
        <v>-0.32</v>
      </c>
      <c r="AO50" s="5" t="n">
        <v>-0.089</v>
      </c>
    </row>
    <row r="51" customFormat="false" ht="15" hidden="false" customHeight="false" outlineLevel="0" collapsed="false">
      <c r="E51" s="0" t="n">
        <v>4</v>
      </c>
      <c r="F51" s="0" t="n">
        <f aca="false">F$8+F$9*SIN(F$11*$E51+F$12)+F$10*COS(F$11*$E51+F$12)+F$13*SIN(F$15*$E51+F$16)+F$14*COS(F$15*$E51+F$16)+F$17*SIN(F$19*$E51+F$20)+F$18*COS(F$19*$E51+F$20) + F$21*SIN(F$23*$E51+F$24)+F$22*COS(F$23*$E51+F$24) + F$25*SIN(F$27*$E51+F$28) + F$26*COS(F$27*$E51+F$28)</f>
        <v>0.000690493217435264</v>
      </c>
      <c r="G51" s="0" t="n">
        <f aca="false">G$8+G$9*SIN(G$11*$E51+G$12)+G$10*COS(G$11*$E51+G$12)+G$13*SIN(G$15*$E51+G$16)+G$14*COS(G$15*$E51+G$16)+G$17*SIN(G$19*$E51+G$20)+G$18*COS(G$19*$E51+G$20) + G$21*SIN(G$23*$E51+G$24)+G$22*COS(G$23*$E51+G$24) + G$25*SIN(G$27*$E51+G$28) + G$26*COS(G$27*$E51+G$28)</f>
        <v>0.000615740335851136</v>
      </c>
      <c r="H51" s="0" t="n">
        <f aca="false">H$8+H$9*SIN(H$11*$E51+H$12)+H$10*COS(H$11*$E51+H$12)+H$13*SIN(H$15*$E51+H$16)+H$14*COS(H$15*$E51+H$16)+H$17*SIN(H$19*$E51+H$20)+H$18*COS(H$19*$E51+H$20) + H$21*SIN(H$23*$E51+H$24)+H$22*COS(H$23*$E51+H$24) + H$25*SIN(H$27*$E51+H$28) + H$26*COS(H$27*$E51+H$28)</f>
        <v>0.000636817877224955</v>
      </c>
      <c r="I51" s="0" t="n">
        <f aca="false">I$8+I$9*SIN(I$11*$E51+I$12)+I$10*COS(I$11*$E51+I$12)+I$13*SIN(I$15*$E51+I$16)+I$14*COS(I$15*$E51+I$16)+I$17*SIN(I$19*$E51+I$20)+I$18*COS(I$19*$E51+I$20) + I$21*SIN(I$23*$E51+I$24)+I$22*COS(I$23*$E51+I$24) + I$25*SIN(I$27*$E51+I$28) + I$26*COS(I$27*$E51+I$28)</f>
        <v>0.000589576072975529</v>
      </c>
      <c r="J51" s="0" t="n">
        <f aca="false">J$8+J$9*SIN(J$11*$E51+J$12)+J$10*COS(J$11*$E51+J$12)+J$13*SIN(J$15*$E51+J$16)+J$14*COS(J$15*$E51+J$16)+J$17*SIN(J$19*$E51+J$20)+J$18*COS(J$19*$E51+J$20) + J$21*SIN(J$23*$E51+J$24)+J$22*COS(J$23*$E51+J$24) + J$25*SIN(J$27*$E51+J$28) + J$26*COS(J$27*$E51+J$28)</f>
        <v>0.000819295568579846</v>
      </c>
      <c r="K51" s="0" t="n">
        <f aca="false">K$8+K$9*SIN(K$11*$E51+K$12)+K$10*COS(K$11*$E51+K$12)+K$13*SIN(K$15*$E51+K$16)+K$14*COS(K$15*$E51+K$16)+K$17*SIN(K$19*$E51+K$20)+K$18*COS(K$19*$E51+K$20) + K$21*SIN(K$23*$E51+K$24)+K$22*COS(K$23*$E51+K$24) + K$25*SIN(K$27*$E51+K$28) + K$26*COS(K$27*$E51+K$28)</f>
        <v>0.000561892234425883</v>
      </c>
      <c r="L51" s="0" t="n">
        <f aca="false">L$8+L$9*SIN(L$11*$E51+L$12)+L$10*COS(L$11*$E51+L$12)+L$13*SIN(L$15*$E51+L$16)+L$14*COS(L$15*$E51+L$16)+L$17*SIN(L$19*$E51+L$20)+L$18*COS(L$19*$E51+L$20) + L$21*SIN(L$23*$E51+L$24)+L$22*COS(L$23*$E51+L$24) + L$25*SIN(L$27*$E51+L$28) + L$26*COS(L$27*$E51+L$28)</f>
        <v>0.000699317669182643</v>
      </c>
      <c r="M51" s="0" t="n">
        <f aca="false">M$8+M$9*SIN(M$11*$E51+M$12)+M$10*COS(M$11*$E51+M$12)+M$13*SIN(M$15*$E51+M$16)+M$14*COS(M$15*$E51+M$16)+M$17*SIN(M$19*$E51+M$20)+M$18*COS(M$19*$E51+M$20) + M$21*SIN(M$23*$E51+M$24)+M$22*COS(M$23*$E51+M$24) + M$25*SIN(M$27*$E51+M$28) + M$26*COS(M$27*$E51+M$28)</f>
        <v>0.000558566434443851</v>
      </c>
      <c r="N51" s="0" t="n">
        <f aca="false">N$8+N$9*SIN(N$11*$E51+N$12)+N$10*COS(N$11*$E51+N$12)+N$13*SIN(N$15*$E51+N$16)+N$14*COS(N$15*$E51+N$16)+N$17*SIN(N$19*$E51+N$20)+N$18*COS(N$19*$E51+N$20) + N$21*SIN(N$23*$E51+N$24)+N$22*COS(N$23*$E51+N$24) + N$25*SIN(N$27*$E51+N$28) + N$26*COS(N$27*$E51+N$28)</f>
        <v>0.000571330555005353</v>
      </c>
      <c r="O51" s="0" t="n">
        <f aca="false">O$8+O$9*SIN(O$11*$E51+O$12)+O$10*COS(O$11*$E51+O$12)+O$13*SIN(O$15*$E51+O$16)+O$14*COS(O$15*$E51+O$16)+O$17*SIN(O$19*$E51+O$20)+O$18*COS(O$19*$E51+O$20) + O$21*SIN(O$23*$E51+O$24)+O$22*COS(O$23*$E51+O$24) + O$25*SIN(O$27*$E51+O$28) + O$26*COS(O$27*$E51+O$28)</f>
        <v>0.000591659472487092</v>
      </c>
      <c r="P51" s="0" t="n">
        <f aca="false">P$8+P$9*SIN(P$11*$E51+P$12)+P$10*COS(P$11*$E51+P$12)+P$13*SIN(P$15*$E51+P$16)+P$14*COS(P$15*$E51+P$16)+P$17*SIN(P$19*$E51+P$20)+P$18*COS(P$19*$E51+P$20) + P$21*SIN(P$23*$E51+P$24)+P$22*COS(P$23*$E51+P$24) + P$25*SIN(P$27*$E51+P$28) + P$26*COS(P$27*$E51+P$28)</f>
        <v>0.000584275584609564</v>
      </c>
      <c r="Q51" s="0" t="n">
        <f aca="false">Q$8+Q$9*SIN(Q$11*$E51+Q$12)+Q$10*COS(Q$11*$E51+Q$12)+Q$13*SIN(Q$15*$E51+Q$16)+Q$14*COS(Q$15*$E51+Q$16)+Q$17*SIN(Q$19*$E51+Q$20)+Q$18*COS(Q$19*$E51+Q$20) + Q$21*SIN(Q$23*$E51+Q$24)+Q$22*COS(Q$23*$E51+Q$24) + Q$25*SIN(Q$27*$E51+Q$28) + Q$26*COS(Q$27*$E51+Q$28)</f>
        <v>0.000550462551087358</v>
      </c>
      <c r="R51" s="0" t="n">
        <f aca="false">R$8+R$9*SIN(R$11*$E51+R$12)+R$10*COS(R$11*$E51+R$12)+R$13*SIN(R$15*$E51+R$16)+R$14*COS(R$15*$E51+R$16)+R$17*SIN(R$19*$E51+R$20)+R$18*COS(R$19*$E51+R$20) + R$21*SIN(R$23*$E51+R$24)+R$22*COS(R$23*$E51+R$24) + R$25*SIN(R$27*$E51+R$28) + R$26*COS(R$27*$E51+R$28)</f>
        <v>0.000819267367649218</v>
      </c>
      <c r="S51" s="0" t="n">
        <f aca="false">S$8+S$9*SIN(S$11*$E51+S$12)+S$10*COS(S$11*$E51+S$12)+S$13*SIN(S$15*$E51+S$16)+S$14*COS(S$15*$E51+S$16)+S$17*SIN(S$19*$E51+S$20)+S$18*COS(S$19*$E51+S$20) + S$21*SIN(S$23*$E51+S$24)+S$22*COS(S$23*$E51+S$24) + S$25*SIN(S$27*$E51+S$28) + S$26*COS(S$27*$E51+S$28)</f>
        <v>0.000505623082410957</v>
      </c>
      <c r="T51" s="0" t="n">
        <f aca="false">T$8+T$9*SIN(T$11*$E51+T$12)+T$10*COS(T$11*$E51+T$12)+T$13*SIN(T$15*$E51+T$16)+T$14*COS(T$15*$E51+T$16)+T$17*SIN(T$19*$E51+T$20)+T$18*COS(T$19*$E51+T$20) + T$21*SIN(T$23*$E51+T$24)+T$22*COS(T$23*$E51+T$24) + T$25*SIN(T$27*$E51+T$28) + T$26*COS(T$27*$E51+T$28)</f>
        <v>0.000569625750354011</v>
      </c>
      <c r="U51" s="0" t="n">
        <f aca="false">U$8+U$9*SIN(U$11*$E51+U$12)+U$10*COS(U$11*$E51+U$12)+U$13*SIN(U$15*$E51+U$16)+U$14*COS(U$15*$E51+U$16)+U$17*SIN(U$19*$E51+U$20)+U$18*COS(U$19*$E51+U$20) + U$21*SIN(U$23*$E51+U$24)+U$22*COS(U$23*$E51+U$24) + U$25*SIN(U$27*$E51+U$28) + U$26*COS(U$27*$E51+U$28)</f>
        <v>0.000507097437600874</v>
      </c>
      <c r="V51" s="0" t="n">
        <f aca="false">V$8+V$9*SIN(V$11*$E51+V$12)+V$10*COS(V$11*$E51+V$12)+V$13*SIN(V$15*$E51+V$16)+V$14*COS(V$15*$E51+V$16)+V$17*SIN(V$19*$E51+V$20)+V$18*COS(V$19*$E51+V$20) + V$21*SIN(V$23*$E51+V$24)+V$22*COS(V$23*$E51+V$24) + V$25*SIN(V$27*$E51+V$28) + V$26*COS(V$27*$E51+V$28)</f>
        <v>0.000547766093011732</v>
      </c>
      <c r="W51" s="0" t="n">
        <f aca="false">W$8+W$9*SIN(W$11*$E51+W$12)+W$10*COS(W$11*$E51+W$12)+W$13*SIN(W$15*$E51+W$16)+W$14*COS(W$15*$E51+W$16)+W$17*SIN(W$19*$E51+W$20)+W$18*COS(W$19*$E51+W$20) + W$21*SIN(W$23*$E51+W$24)+W$22*COS(W$23*$E51+W$24) + W$25*SIN(W$27*$E51+W$28) + W$26*COS(W$27*$E51+W$28)</f>
        <v>0.000535788730939109</v>
      </c>
      <c r="X51" s="0" t="n">
        <f aca="false">X$8+X$9*SIN(X$11*$E51+X$12)+X$10*COS(X$11*$E51+X$12)+X$13*SIN(X$15*$E51+X$16)+X$14*COS(X$15*$E51+X$16)+X$17*SIN(X$19*$E51+X$20)+X$18*COS(X$19*$E51+X$20) + X$21*SIN(X$23*$E51+X$24)+X$22*COS(X$23*$E51+X$24) + X$25*SIN(X$27*$E51+X$28) + X$26*COS(X$27*$E51+X$28)</f>
        <v>0.000609479443795431</v>
      </c>
      <c r="Y51" s="0" t="n">
        <f aca="false">Y$8+Y$9*SIN(Y$11*$E51+Y$12)+Y$10*COS(Y$11*$E51+Y$12)+Y$13*SIN(Y$15*$E51+Y$16)+Y$14*COS(Y$15*$E51+Y$16)+Y$17*SIN(Y$19*$E51+Y$20)+Y$18*COS(Y$19*$E51+Y$20) + Y$21*SIN(Y$23*$E51+Y$24)+Y$22*COS(Y$23*$E51+Y$24) + Y$25*SIN(Y$27*$E51+Y$28) + Y$26*COS(Y$27*$E51+Y$28)</f>
        <v>0.000545136766103973</v>
      </c>
      <c r="Z51" s="0" t="n">
        <f aca="false">Z$8+Z$9*SIN(Z$11*$E51+Z$12)+Z$10*COS(Z$11*$E51+Z$12)+Z$13*SIN(Z$15*$E51+Z$16)+Z$14*COS(Z$15*$E51+Z$16)+Z$17*SIN(Z$19*$E51+Z$20)+Z$18*COS(Z$19*$E51+Z$20) + Z$21*SIN(Z$23*$E51+Z$24)+Z$22*COS(Z$23*$E51+Z$24) + Z$25*SIN(Z$27*$E51+Z$28) + Z$26*COS(Z$27*$E51+Z$28)</f>
        <v>0.000708950991453736</v>
      </c>
      <c r="AA51" s="0" t="n">
        <f aca="false">AA$8+AA$9*SIN(AA$11*$E51+AA$12)+AA$10*COS(AA$11*$E51+AA$12)+AA$13*SIN(AA$15*$E51+AA$16)+AA$14*COS(AA$15*$E51+AA$16)+AA$17*SIN(AA$19*$E51+AA$20)+AA$18*COS(AA$19*$E51+AA$20) + AA$21*SIN(AA$23*$E51+AA$24)+AA$22*COS(AA$23*$E51+AA$24) + AA$25*SIN(AA$27*$E51+AA$28) + AA$26*COS(AA$27*$E51+AA$28)</f>
        <v>0.000716857117537235</v>
      </c>
      <c r="AB51" s="0" t="n">
        <f aca="false">AB$8+AB$9*SIN(AB$11*$E51+AB$12)+AB$10*COS(AB$11*$E51+AB$12)+AB$13*SIN(AB$15*$E51+AB$16)+AB$14*COS(AB$15*$E51+AB$16)+AB$17*SIN(AB$19*$E51+AB$20)+AB$18*COS(AB$19*$E51+AB$20) + AB$21*SIN(AB$23*$E51+AB$24)+AB$22*COS(AB$23*$E51+AB$24) + AB$25*SIN(AB$27*$E51+AB$28) + AB$26*COS(AB$27*$E51+AB$28)</f>
        <v>0.00067389516635822</v>
      </c>
      <c r="AC51" s="0" t="n">
        <f aca="false">AC$8+AC$9*SIN(AC$11*$E51+AC$12)+AC$10*COS(AC$11*$E51+AC$12)+AC$13*SIN(AC$15*$E51+AC$16)+AC$14*COS(AC$15*$E51+AC$16)+AC$17*SIN(AC$19*$E51+AC$20)+AC$18*COS(AC$19*$E51+AC$20) + AC$21*SIN(AC$23*$E51+AC$24)+AC$22*COS(AC$23*$E51+AC$24) + AC$25*SIN(AC$27*$E51+AC$28) + AC$26*COS(AC$27*$E51+AC$28)</f>
        <v>0.00063032949822784</v>
      </c>
      <c r="AJ51" s="5" t="n">
        <v>0.993</v>
      </c>
      <c r="AK51" s="5" t="n">
        <v>0.982</v>
      </c>
      <c r="AL51" s="5" t="n">
        <v>0.944</v>
      </c>
      <c r="AM51" s="5" t="n">
        <v>1.022</v>
      </c>
      <c r="AN51" s="5" t="n">
        <v>0.907</v>
      </c>
      <c r="AO51" s="5" t="n">
        <v>0.934</v>
      </c>
    </row>
    <row r="52" customFormat="false" ht="15" hidden="false" customHeight="false" outlineLevel="0" collapsed="false">
      <c r="E52" s="0" t="n">
        <v>5</v>
      </c>
      <c r="F52" s="0" t="n">
        <f aca="false">F$8+F$9*SIN(F$11*$E52+F$12)+F$10*COS(F$11*$E52+F$12)+F$13*SIN(F$15*$E52+F$16)+F$14*COS(F$15*$E52+F$16)+F$17*SIN(F$19*$E52+F$20)+F$18*COS(F$19*$E52+F$20) + F$21*SIN(F$23*$E52+F$24)+F$22*COS(F$23*$E52+F$24) + F$25*SIN(F$27*$E52+F$28) + F$26*COS(F$27*$E52+F$28)</f>
        <v>0.000740886996913074</v>
      </c>
      <c r="G52" s="0" t="n">
        <f aca="false">G$8+G$9*SIN(G$11*$E52+G$12)+G$10*COS(G$11*$E52+G$12)+G$13*SIN(G$15*$E52+G$16)+G$14*COS(G$15*$E52+G$16)+G$17*SIN(G$19*$E52+G$20)+G$18*COS(G$19*$E52+G$20) + G$21*SIN(G$23*$E52+G$24)+G$22*COS(G$23*$E52+G$24) + G$25*SIN(G$27*$E52+G$28) + G$26*COS(G$27*$E52+G$28)</f>
        <v>0.000632290518285256</v>
      </c>
      <c r="H52" s="0" t="n">
        <f aca="false">H$8+H$9*SIN(H$11*$E52+H$12)+H$10*COS(H$11*$E52+H$12)+H$13*SIN(H$15*$E52+H$16)+H$14*COS(H$15*$E52+H$16)+H$17*SIN(H$19*$E52+H$20)+H$18*COS(H$19*$E52+H$20) + H$21*SIN(H$23*$E52+H$24)+H$22*COS(H$23*$E52+H$24) + H$25*SIN(H$27*$E52+H$28) + H$26*COS(H$27*$E52+H$28)</f>
        <v>0.000667901776398543</v>
      </c>
      <c r="I52" s="0" t="n">
        <f aca="false">I$8+I$9*SIN(I$11*$E52+I$12)+I$10*COS(I$11*$E52+I$12)+I$13*SIN(I$15*$E52+I$16)+I$14*COS(I$15*$E52+I$16)+I$17*SIN(I$19*$E52+I$20)+I$18*COS(I$19*$E52+I$20) + I$21*SIN(I$23*$E52+I$24)+I$22*COS(I$23*$E52+I$24) + I$25*SIN(I$27*$E52+I$28) + I$26*COS(I$27*$E52+I$28)</f>
        <v>0.000575510091245041</v>
      </c>
      <c r="J52" s="0" t="n">
        <f aca="false">J$8+J$9*SIN(J$11*$E52+J$12)+J$10*COS(J$11*$E52+J$12)+J$13*SIN(J$15*$E52+J$16)+J$14*COS(J$15*$E52+J$16)+J$17*SIN(J$19*$E52+J$20)+J$18*COS(J$19*$E52+J$20) + J$21*SIN(J$23*$E52+J$24)+J$22*COS(J$23*$E52+J$24) + J$25*SIN(J$27*$E52+J$28) + J$26*COS(J$27*$E52+J$28)</f>
        <v>0.000819297040132026</v>
      </c>
      <c r="K52" s="0" t="n">
        <f aca="false">K$8+K$9*SIN(K$11*$E52+K$12)+K$10*COS(K$11*$E52+K$12)+K$13*SIN(K$15*$E52+K$16)+K$14*COS(K$15*$E52+K$16)+K$17*SIN(K$19*$E52+K$20)+K$18*COS(K$19*$E52+K$20) + K$21*SIN(K$23*$E52+K$24)+K$22*COS(K$23*$E52+K$24) + K$25*SIN(K$27*$E52+K$28) + K$26*COS(K$27*$E52+K$28)</f>
        <v>0.000541052046966412</v>
      </c>
      <c r="L52" s="0" t="n">
        <f aca="false">L$8+L$9*SIN(L$11*$E52+L$12)+L$10*COS(L$11*$E52+L$12)+L$13*SIN(L$15*$E52+L$16)+L$14*COS(L$15*$E52+L$16)+L$17*SIN(L$19*$E52+L$20)+L$18*COS(L$19*$E52+L$20) + L$21*SIN(L$23*$E52+L$24)+L$22*COS(L$23*$E52+L$24) + L$25*SIN(L$27*$E52+L$28) + L$26*COS(L$27*$E52+L$28)</f>
        <v>0.000736219947319052</v>
      </c>
      <c r="M52" s="0" t="n">
        <f aca="false">M$8+M$9*SIN(M$11*$E52+M$12)+M$10*COS(M$11*$E52+M$12)+M$13*SIN(M$15*$E52+M$16)+M$14*COS(M$15*$E52+M$16)+M$17*SIN(M$19*$E52+M$20)+M$18*COS(M$19*$E52+M$20) + M$21*SIN(M$23*$E52+M$24)+M$22*COS(M$23*$E52+M$24) + M$25*SIN(M$27*$E52+M$28) + M$26*COS(M$27*$E52+M$28)</f>
        <v>0.000575679619830197</v>
      </c>
      <c r="N52" s="0" t="n">
        <f aca="false">N$8+N$9*SIN(N$11*$E52+N$12)+N$10*COS(N$11*$E52+N$12)+N$13*SIN(N$15*$E52+N$16)+N$14*COS(N$15*$E52+N$16)+N$17*SIN(N$19*$E52+N$20)+N$18*COS(N$19*$E52+N$20) + N$21*SIN(N$23*$E52+N$24)+N$22*COS(N$23*$E52+N$24) + N$25*SIN(N$27*$E52+N$28) + N$26*COS(N$27*$E52+N$28)</f>
        <v>0.000591833480974959</v>
      </c>
      <c r="O52" s="0" t="n">
        <f aca="false">O$8+O$9*SIN(O$11*$E52+O$12)+O$10*COS(O$11*$E52+O$12)+O$13*SIN(O$15*$E52+O$16)+O$14*COS(O$15*$E52+O$16)+O$17*SIN(O$19*$E52+O$20)+O$18*COS(O$19*$E52+O$20) + O$21*SIN(O$23*$E52+O$24)+O$22*COS(O$23*$E52+O$24) + O$25*SIN(O$27*$E52+O$28) + O$26*COS(O$27*$E52+O$28)</f>
        <v>0.000571829561080909</v>
      </c>
      <c r="P52" s="0" t="n">
        <f aca="false">P$8+P$9*SIN(P$11*$E52+P$12)+P$10*COS(P$11*$E52+P$12)+P$13*SIN(P$15*$E52+P$16)+P$14*COS(P$15*$E52+P$16)+P$17*SIN(P$19*$E52+P$20)+P$18*COS(P$19*$E52+P$20) + P$21*SIN(P$23*$E52+P$24)+P$22*COS(P$23*$E52+P$24) + P$25*SIN(P$27*$E52+P$28) + P$26*COS(P$27*$E52+P$28)</f>
        <v>0.000575625553370185</v>
      </c>
      <c r="Q52" s="0" t="n">
        <f aca="false">Q$8+Q$9*SIN(Q$11*$E52+Q$12)+Q$10*COS(Q$11*$E52+Q$12)+Q$13*SIN(Q$15*$E52+Q$16)+Q$14*COS(Q$15*$E52+Q$16)+Q$17*SIN(Q$19*$E52+Q$20)+Q$18*COS(Q$19*$E52+Q$20) + Q$21*SIN(Q$23*$E52+Q$24)+Q$22*COS(Q$23*$E52+Q$24) + Q$25*SIN(Q$27*$E52+Q$28) + Q$26*COS(Q$27*$E52+Q$28)</f>
        <v>0.0005467562120143</v>
      </c>
      <c r="R52" s="0" t="n">
        <f aca="false">R$8+R$9*SIN(R$11*$E52+R$12)+R$10*COS(R$11*$E52+R$12)+R$13*SIN(R$15*$E52+R$16)+R$14*COS(R$15*$E52+R$16)+R$17*SIN(R$19*$E52+R$20)+R$18*COS(R$19*$E52+R$20) + R$21*SIN(R$23*$E52+R$24)+R$22*COS(R$23*$E52+R$24) + R$25*SIN(R$27*$E52+R$28) + R$26*COS(R$27*$E52+R$28)</f>
        <v>0.000819273658585044</v>
      </c>
      <c r="S52" s="0" t="n">
        <f aca="false">S$8+S$9*SIN(S$11*$E52+S$12)+S$10*COS(S$11*$E52+S$12)+S$13*SIN(S$15*$E52+S$16)+S$14*COS(S$15*$E52+S$16)+S$17*SIN(S$19*$E52+S$20)+S$18*COS(S$19*$E52+S$20) + S$21*SIN(S$23*$E52+S$24)+S$22*COS(S$23*$E52+S$24) + S$25*SIN(S$27*$E52+S$28) + S$26*COS(S$27*$E52+S$28)</f>
        <v>0.00050124603198863</v>
      </c>
      <c r="T52" s="0" t="n">
        <f aca="false">T$8+T$9*SIN(T$11*$E52+T$12)+T$10*COS(T$11*$E52+T$12)+T$13*SIN(T$15*$E52+T$16)+T$14*COS(T$15*$E52+T$16)+T$17*SIN(T$19*$E52+T$20)+T$18*COS(T$19*$E52+T$20) + T$21*SIN(T$23*$E52+T$24)+T$22*COS(T$23*$E52+T$24) + T$25*SIN(T$27*$E52+T$28) + T$26*COS(T$27*$E52+T$28)</f>
        <v>0.000574340125549097</v>
      </c>
      <c r="U52" s="0" t="n">
        <f aca="false">U$8+U$9*SIN(U$11*$E52+U$12)+U$10*COS(U$11*$E52+U$12)+U$13*SIN(U$15*$E52+U$16)+U$14*COS(U$15*$E52+U$16)+U$17*SIN(U$19*$E52+U$20)+U$18*COS(U$19*$E52+U$20) + U$21*SIN(U$23*$E52+U$24)+U$22*COS(U$23*$E52+U$24) + U$25*SIN(U$27*$E52+U$28) + U$26*COS(U$27*$E52+U$28)</f>
        <v>0.00049508130223013</v>
      </c>
      <c r="V52" s="0" t="n">
        <f aca="false">V$8+V$9*SIN(V$11*$E52+V$12)+V$10*COS(V$11*$E52+V$12)+V$13*SIN(V$15*$E52+V$16)+V$14*COS(V$15*$E52+V$16)+V$17*SIN(V$19*$E52+V$20)+V$18*COS(V$19*$E52+V$20) + V$21*SIN(V$23*$E52+V$24)+V$22*COS(V$23*$E52+V$24) + V$25*SIN(V$27*$E52+V$28) + V$26*COS(V$27*$E52+V$28)</f>
        <v>0.000600050627629513</v>
      </c>
      <c r="W52" s="0" t="n">
        <f aca="false">W$8+W$9*SIN(W$11*$E52+W$12)+W$10*COS(W$11*$E52+W$12)+W$13*SIN(W$15*$E52+W$16)+W$14*COS(W$15*$E52+W$16)+W$17*SIN(W$19*$E52+W$20)+W$18*COS(W$19*$E52+W$20) + W$21*SIN(W$23*$E52+W$24)+W$22*COS(W$23*$E52+W$24) + W$25*SIN(W$27*$E52+W$28) + W$26*COS(W$27*$E52+W$28)</f>
        <v>0.000625600946200413</v>
      </c>
      <c r="X52" s="0" t="n">
        <f aca="false">X$8+X$9*SIN(X$11*$E52+X$12)+X$10*COS(X$11*$E52+X$12)+X$13*SIN(X$15*$E52+X$16)+X$14*COS(X$15*$E52+X$16)+X$17*SIN(X$19*$E52+X$20)+X$18*COS(X$19*$E52+X$20) + X$21*SIN(X$23*$E52+X$24)+X$22*COS(X$23*$E52+X$24) + X$25*SIN(X$27*$E52+X$28) + X$26*COS(X$27*$E52+X$28)</f>
        <v>0.000620192694116977</v>
      </c>
      <c r="Y52" s="0" t="n">
        <f aca="false">Y$8+Y$9*SIN(Y$11*$E52+Y$12)+Y$10*COS(Y$11*$E52+Y$12)+Y$13*SIN(Y$15*$E52+Y$16)+Y$14*COS(Y$15*$E52+Y$16)+Y$17*SIN(Y$19*$E52+Y$20)+Y$18*COS(Y$19*$E52+Y$20) + Y$21*SIN(Y$23*$E52+Y$24)+Y$22*COS(Y$23*$E52+Y$24) + Y$25*SIN(Y$27*$E52+Y$28) + Y$26*COS(Y$27*$E52+Y$28)</f>
        <v>0.000554670825297982</v>
      </c>
      <c r="Z52" s="0" t="n">
        <f aca="false">Z$8+Z$9*SIN(Z$11*$E52+Z$12)+Z$10*COS(Z$11*$E52+Z$12)+Z$13*SIN(Z$15*$E52+Z$16)+Z$14*COS(Z$15*$E52+Z$16)+Z$17*SIN(Z$19*$E52+Z$20)+Z$18*COS(Z$19*$E52+Z$20) + Z$21*SIN(Z$23*$E52+Z$24)+Z$22*COS(Z$23*$E52+Z$24) + Z$25*SIN(Z$27*$E52+Z$28) + Z$26*COS(Z$27*$E52+Z$28)</f>
        <v>0.000753256212749803</v>
      </c>
      <c r="AA52" s="0" t="n">
        <f aca="false">AA$8+AA$9*SIN(AA$11*$E52+AA$12)+AA$10*COS(AA$11*$E52+AA$12)+AA$13*SIN(AA$15*$E52+AA$16)+AA$14*COS(AA$15*$E52+AA$16)+AA$17*SIN(AA$19*$E52+AA$20)+AA$18*COS(AA$19*$E52+AA$20) + AA$21*SIN(AA$23*$E52+AA$24)+AA$22*COS(AA$23*$E52+AA$24) + AA$25*SIN(AA$27*$E52+AA$28) + AA$26*COS(AA$27*$E52+AA$28)</f>
        <v>0.000716858211076905</v>
      </c>
      <c r="AB52" s="0" t="n">
        <f aca="false">AB$8+AB$9*SIN(AB$11*$E52+AB$12)+AB$10*COS(AB$11*$E52+AB$12)+AB$13*SIN(AB$15*$E52+AB$16)+AB$14*COS(AB$15*$E52+AB$16)+AB$17*SIN(AB$19*$E52+AB$20)+AB$18*COS(AB$19*$E52+AB$20) + AB$21*SIN(AB$23*$E52+AB$24)+AB$22*COS(AB$23*$E52+AB$24) + AB$25*SIN(AB$27*$E52+AB$28) + AB$26*COS(AB$27*$E52+AB$28)</f>
        <v>0.000660009480032352</v>
      </c>
      <c r="AC52" s="0" t="n">
        <f aca="false">AC$8+AC$9*SIN(AC$11*$E52+AC$12)+AC$10*COS(AC$11*$E52+AC$12)+AC$13*SIN(AC$15*$E52+AC$16)+AC$14*COS(AC$15*$E52+AC$16)+AC$17*SIN(AC$19*$E52+AC$20)+AC$18*COS(AC$19*$E52+AC$20) + AC$21*SIN(AC$23*$E52+AC$24)+AC$22*COS(AC$23*$E52+AC$24) + AC$25*SIN(AC$27*$E52+AC$28) + AC$26*COS(AC$27*$E52+AC$28)</f>
        <v>0.000599084302732497</v>
      </c>
      <c r="AJ52" s="5" t="n">
        <v>0</v>
      </c>
      <c r="AK52" s="5" t="n">
        <v>0</v>
      </c>
      <c r="AL52" s="5" t="n">
        <v>0</v>
      </c>
      <c r="AM52" s="5" t="n">
        <v>0</v>
      </c>
      <c r="AN52" s="5" t="n">
        <v>0</v>
      </c>
      <c r="AO52" s="5" t="n">
        <v>0</v>
      </c>
    </row>
    <row r="53" customFormat="false" ht="15" hidden="false" customHeight="false" outlineLevel="0" collapsed="false">
      <c r="E53" s="0" t="n">
        <v>6</v>
      </c>
      <c r="F53" s="0" t="n">
        <f aca="false">F$8+F$9*SIN(F$11*$E53+F$12)+F$10*COS(F$11*$E53+F$12)+F$13*SIN(F$15*$E53+F$16)+F$14*COS(F$15*$E53+F$16)+F$17*SIN(F$19*$E53+F$20)+F$18*COS(F$19*$E53+F$20) + F$21*SIN(F$23*$E53+F$24)+F$22*COS(F$23*$E53+F$24) + F$25*SIN(F$27*$E53+F$28) + F$26*COS(F$27*$E53+F$28)</f>
        <v>0.000822605492679549</v>
      </c>
      <c r="G53" s="0" t="n">
        <f aca="false">G$8+G$9*SIN(G$11*$E53+G$12)+G$10*COS(G$11*$E53+G$12)+G$13*SIN(G$15*$E53+G$16)+G$14*COS(G$15*$E53+G$16)+G$17*SIN(G$19*$E53+G$20)+G$18*COS(G$19*$E53+G$20) + G$21*SIN(G$23*$E53+G$24)+G$22*COS(G$23*$E53+G$24) + G$25*SIN(G$27*$E53+G$28) + G$26*COS(G$27*$E53+G$28)</f>
        <v>0.000648841814720184</v>
      </c>
      <c r="H53" s="0" t="n">
        <f aca="false">H$8+H$9*SIN(H$11*$E53+H$12)+H$10*COS(H$11*$E53+H$12)+H$13*SIN(H$15*$E53+H$16)+H$14*COS(H$15*$E53+H$16)+H$17*SIN(H$19*$E53+H$20)+H$18*COS(H$19*$E53+H$20) + H$21*SIN(H$23*$E53+H$24)+H$22*COS(H$23*$E53+H$24) + H$25*SIN(H$27*$E53+H$28) + H$26*COS(H$27*$E53+H$28)</f>
        <v>0.000747041658573942</v>
      </c>
      <c r="I53" s="0" t="n">
        <f aca="false">I$8+I$9*SIN(I$11*$E53+I$12)+I$10*COS(I$11*$E53+I$12)+I$13*SIN(I$15*$E53+I$16)+I$14*COS(I$15*$E53+I$16)+I$17*SIN(I$19*$E53+I$20)+I$18*COS(I$19*$E53+I$20) + I$21*SIN(I$23*$E53+I$24)+I$22*COS(I$23*$E53+I$24) + I$25*SIN(I$27*$E53+I$28) + I$26*COS(I$27*$E53+I$28)</f>
        <v>0.000590089653812964</v>
      </c>
      <c r="J53" s="0" t="n">
        <f aca="false">J$8+J$9*SIN(J$11*$E53+J$12)+J$10*COS(J$11*$E53+J$12)+J$13*SIN(J$15*$E53+J$16)+J$14*COS(J$15*$E53+J$16)+J$17*SIN(J$19*$E53+J$20)+J$18*COS(J$19*$E53+J$20) + J$21*SIN(J$23*$E53+J$24)+J$22*COS(J$23*$E53+J$24) + J$25*SIN(J$27*$E53+J$28) + J$26*COS(J$27*$E53+J$28)</f>
        <v>0.000819297355966388</v>
      </c>
      <c r="K53" s="0" t="n">
        <f aca="false">K$8+K$9*SIN(K$11*$E53+K$12)+K$10*COS(K$11*$E53+K$12)+K$13*SIN(K$15*$E53+K$16)+K$14*COS(K$15*$E53+K$16)+K$17*SIN(K$19*$E53+K$20)+K$18*COS(K$19*$E53+K$20) + K$21*SIN(K$23*$E53+K$24)+K$22*COS(K$23*$E53+K$24) + K$25*SIN(K$27*$E53+K$28) + K$26*COS(K$27*$E53+K$28)</f>
        <v>0.000586574819388093</v>
      </c>
      <c r="L53" s="0" t="n">
        <f aca="false">L$8+L$9*SIN(L$11*$E53+L$12)+L$10*COS(L$11*$E53+L$12)+L$13*SIN(L$15*$E53+L$16)+L$14*COS(L$15*$E53+L$16)+L$17*SIN(L$19*$E53+L$20)+L$18*COS(L$19*$E53+L$20) + L$21*SIN(L$23*$E53+L$24)+L$22*COS(L$23*$E53+L$24) + L$25*SIN(L$27*$E53+L$28) + L$26*COS(L$27*$E53+L$28)</f>
        <v>0.000760855014781957</v>
      </c>
      <c r="M53" s="0" t="n">
        <f aca="false">M$8+M$9*SIN(M$11*$E53+M$12)+M$10*COS(M$11*$E53+M$12)+M$13*SIN(M$15*$E53+M$16)+M$14*COS(M$15*$E53+M$16)+M$17*SIN(M$19*$E53+M$20)+M$18*COS(M$19*$E53+M$20) + M$21*SIN(M$23*$E53+M$24)+M$22*COS(M$23*$E53+M$24) + M$25*SIN(M$27*$E53+M$28) + M$26*COS(M$27*$E53+M$28)</f>
        <v>0.000602400006052562</v>
      </c>
      <c r="N53" s="0" t="n">
        <f aca="false">N$8+N$9*SIN(N$11*$E53+N$12)+N$10*COS(N$11*$E53+N$12)+N$13*SIN(N$15*$E53+N$16)+N$14*COS(N$15*$E53+N$16)+N$17*SIN(N$19*$E53+N$20)+N$18*COS(N$19*$E53+N$20) + N$21*SIN(N$23*$E53+N$24)+N$22*COS(N$23*$E53+N$24) + N$25*SIN(N$27*$E53+N$28) + N$26*COS(N$27*$E53+N$28)</f>
        <v>0.000665766392887672</v>
      </c>
      <c r="O53" s="0" t="n">
        <f aca="false">O$8+O$9*SIN(O$11*$E53+O$12)+O$10*COS(O$11*$E53+O$12)+O$13*SIN(O$15*$E53+O$16)+O$14*COS(O$15*$E53+O$16)+O$17*SIN(O$19*$E53+O$20)+O$18*COS(O$19*$E53+O$20) + O$21*SIN(O$23*$E53+O$24)+O$22*COS(O$23*$E53+O$24) + O$25*SIN(O$27*$E53+O$28) + O$26*COS(O$27*$E53+O$28)</f>
        <v>0.000612045452646631</v>
      </c>
      <c r="P53" s="0" t="n">
        <f aca="false">P$8+P$9*SIN(P$11*$E53+P$12)+P$10*COS(P$11*$E53+P$12)+P$13*SIN(P$15*$E53+P$16)+P$14*COS(P$15*$E53+P$16)+P$17*SIN(P$19*$E53+P$20)+P$18*COS(P$19*$E53+P$20) + P$21*SIN(P$23*$E53+P$24)+P$22*COS(P$23*$E53+P$24) + P$25*SIN(P$27*$E53+P$28) + P$26*COS(P$27*$E53+P$28)</f>
        <v>0.000567158817104233</v>
      </c>
      <c r="Q53" s="0" t="n">
        <f aca="false">Q$8+Q$9*SIN(Q$11*$E53+Q$12)+Q$10*COS(Q$11*$E53+Q$12)+Q$13*SIN(Q$15*$E53+Q$16)+Q$14*COS(Q$15*$E53+Q$16)+Q$17*SIN(Q$19*$E53+Q$20)+Q$18*COS(Q$19*$E53+Q$20) + Q$21*SIN(Q$23*$E53+Q$24)+Q$22*COS(Q$23*$E53+Q$24) + Q$25*SIN(Q$27*$E53+Q$28) + Q$26*COS(Q$27*$E53+Q$28)</f>
        <v>0.000574756746945357</v>
      </c>
      <c r="R53" s="0" t="n">
        <f aca="false">R$8+R$9*SIN(R$11*$E53+R$12)+R$10*COS(R$11*$E53+R$12)+R$13*SIN(R$15*$E53+R$16)+R$14*COS(R$15*$E53+R$16)+R$17*SIN(R$19*$E53+R$20)+R$18*COS(R$19*$E53+R$20) + R$21*SIN(R$23*$E53+R$24)+R$22*COS(R$23*$E53+R$24) + R$25*SIN(R$27*$E53+R$28) + R$26*COS(R$27*$E53+R$28)</f>
        <v>0.000819289571018287</v>
      </c>
      <c r="S53" s="0" t="n">
        <f aca="false">S$8+S$9*SIN(S$11*$E53+S$12)+S$10*COS(S$11*$E53+S$12)+S$13*SIN(S$15*$E53+S$16)+S$14*COS(S$15*$E53+S$16)+S$17*SIN(S$19*$E53+S$20)+S$18*COS(S$19*$E53+S$20) + S$21*SIN(S$23*$E53+S$24)+S$22*COS(S$23*$E53+S$24) + S$25*SIN(S$27*$E53+S$28) + S$26*COS(S$27*$E53+S$28)</f>
        <v>0.000537814662776214</v>
      </c>
      <c r="T53" s="0" t="n">
        <f aca="false">T$8+T$9*SIN(T$11*$E53+T$12)+T$10*COS(T$11*$E53+T$12)+T$13*SIN(T$15*$E53+T$16)+T$14*COS(T$15*$E53+T$16)+T$17*SIN(T$19*$E53+T$20)+T$18*COS(T$19*$E53+T$20) + T$21*SIN(T$23*$E53+T$24)+T$22*COS(T$23*$E53+T$24) + T$25*SIN(T$27*$E53+T$28) + T$26*COS(T$27*$E53+T$28)</f>
        <v>0.000616179274842853</v>
      </c>
      <c r="U53" s="0" t="n">
        <f aca="false">U$8+U$9*SIN(U$11*$E53+U$12)+U$10*COS(U$11*$E53+U$12)+U$13*SIN(U$15*$E53+U$16)+U$14*COS(U$15*$E53+U$16)+U$17*SIN(U$19*$E53+U$20)+U$18*COS(U$19*$E53+U$20) + U$21*SIN(U$23*$E53+U$24)+U$22*COS(U$23*$E53+U$24) + U$25*SIN(U$27*$E53+U$28) + U$26*COS(U$27*$E53+U$28)</f>
        <v>0.000516945797006776</v>
      </c>
      <c r="V53" s="0" t="n">
        <f aca="false">V$8+V$9*SIN(V$11*$E53+V$12)+V$10*COS(V$11*$E53+V$12)+V$13*SIN(V$15*$E53+V$16)+V$14*COS(V$15*$E53+V$16)+V$17*SIN(V$19*$E53+V$20)+V$18*COS(V$19*$E53+V$20) + V$21*SIN(V$23*$E53+V$24)+V$22*COS(V$23*$E53+V$24) + V$25*SIN(V$27*$E53+V$28) + V$26*COS(V$27*$E53+V$28)</f>
        <v>0.000681649563122135</v>
      </c>
      <c r="W53" s="0" t="n">
        <f aca="false">W$8+W$9*SIN(W$11*$E53+W$12)+W$10*COS(W$11*$E53+W$12)+W$13*SIN(W$15*$E53+W$16)+W$14*COS(W$15*$E53+W$16)+W$17*SIN(W$19*$E53+W$20)+W$18*COS(W$19*$E53+W$20) + W$21*SIN(W$23*$E53+W$24)+W$22*COS(W$23*$E53+W$24) + W$25*SIN(W$27*$E53+W$28) + W$26*COS(W$27*$E53+W$28)</f>
        <v>0.000607034149427562</v>
      </c>
      <c r="X53" s="0" t="n">
        <f aca="false">X$8+X$9*SIN(X$11*$E53+X$12)+X$10*COS(X$11*$E53+X$12)+X$13*SIN(X$15*$E53+X$16)+X$14*COS(X$15*$E53+X$16)+X$17*SIN(X$19*$E53+X$20)+X$18*COS(X$19*$E53+X$20) + X$21*SIN(X$23*$E53+X$24)+X$22*COS(X$23*$E53+X$24) + X$25*SIN(X$27*$E53+X$28) + X$26*COS(X$27*$E53+X$28)</f>
        <v>0.000651040527904334</v>
      </c>
      <c r="Y53" s="0" t="n">
        <f aca="false">Y$8+Y$9*SIN(Y$11*$E53+Y$12)+Y$10*COS(Y$11*$E53+Y$12)+Y$13*SIN(Y$15*$E53+Y$16)+Y$14*COS(Y$15*$E53+Y$16)+Y$17*SIN(Y$19*$E53+Y$20)+Y$18*COS(Y$19*$E53+Y$20) + Y$21*SIN(Y$23*$E53+Y$24)+Y$22*COS(Y$23*$E53+Y$24) + Y$25*SIN(Y$27*$E53+Y$28) + Y$26*COS(Y$27*$E53+Y$28)</f>
        <v>0.000545669408002003</v>
      </c>
      <c r="Z53" s="0" t="n">
        <f aca="false">Z$8+Z$9*SIN(Z$11*$E53+Z$12)+Z$10*COS(Z$11*$E53+Z$12)+Z$13*SIN(Z$15*$E53+Z$16)+Z$14*COS(Z$15*$E53+Z$16)+Z$17*SIN(Z$19*$E53+Z$20)+Z$18*COS(Z$19*$E53+Z$20) + Z$21*SIN(Z$23*$E53+Z$24)+Z$22*COS(Z$23*$E53+Z$24) + Z$25*SIN(Z$27*$E53+Z$28) + Z$26*COS(Z$27*$E53+Z$28)</f>
        <v>0.000772070091752002</v>
      </c>
      <c r="AA53" s="0" t="n">
        <f aca="false">AA$8+AA$9*SIN(AA$11*$E53+AA$12)+AA$10*COS(AA$11*$E53+AA$12)+AA$13*SIN(AA$15*$E53+AA$16)+AA$14*COS(AA$15*$E53+AA$16)+AA$17*SIN(AA$19*$E53+AA$20)+AA$18*COS(AA$19*$E53+AA$20) + AA$21*SIN(AA$23*$E53+AA$24)+AA$22*COS(AA$23*$E53+AA$24) + AA$25*SIN(AA$27*$E53+AA$28) + AA$26*COS(AA$27*$E53+AA$28)</f>
        <v>0.000716870196760748</v>
      </c>
      <c r="AB53" s="0" t="n">
        <f aca="false">AB$8+AB$9*SIN(AB$11*$E53+AB$12)+AB$10*COS(AB$11*$E53+AB$12)+AB$13*SIN(AB$15*$E53+AB$16)+AB$14*COS(AB$15*$E53+AB$16)+AB$17*SIN(AB$19*$E53+AB$20)+AB$18*COS(AB$19*$E53+AB$20) + AB$21*SIN(AB$23*$E53+AB$24)+AB$22*COS(AB$23*$E53+AB$24) + AB$25*SIN(AB$27*$E53+AB$28) + AB$26*COS(AB$27*$E53+AB$28)</f>
        <v>0.000648812244645581</v>
      </c>
      <c r="AC53" s="0" t="n">
        <f aca="false">AC$8+AC$9*SIN(AC$11*$E53+AC$12)+AC$10*COS(AC$11*$E53+AC$12)+AC$13*SIN(AC$15*$E53+AC$16)+AC$14*COS(AC$15*$E53+AC$16)+AC$17*SIN(AC$19*$E53+AC$20)+AC$18*COS(AC$19*$E53+AC$20) + AC$21*SIN(AC$23*$E53+AC$24)+AC$22*COS(AC$23*$E53+AC$24) + AC$25*SIN(AC$27*$E53+AC$28) + AC$26*COS(AC$27*$E53+AC$28)</f>
        <v>0.000559836653314057</v>
      </c>
      <c r="AJ53" s="5" t="n">
        <v>-0.32</v>
      </c>
      <c r="AK53" s="5" t="n">
        <v>-0.177</v>
      </c>
      <c r="AL53" s="5" t="n">
        <v>-0.189</v>
      </c>
      <c r="AM53" s="5" t="n">
        <v>-0.063</v>
      </c>
      <c r="AN53" s="5" t="n">
        <v>-0.188</v>
      </c>
      <c r="AO53" s="5" t="n">
        <v>0</v>
      </c>
    </row>
    <row r="54" customFormat="false" ht="15" hidden="false" customHeight="false" outlineLevel="0" collapsed="false">
      <c r="E54" s="0" t="n">
        <v>7</v>
      </c>
      <c r="F54" s="0" t="n">
        <f aca="false">F$8+F$9*SIN(F$11*$E54+F$12)+F$10*COS(F$11*$E54+F$12)+F$13*SIN(F$15*$E54+F$16)+F$14*COS(F$15*$E54+F$16)+F$17*SIN(F$19*$E54+F$20)+F$18*COS(F$19*$E54+F$20) + F$21*SIN(F$23*$E54+F$24)+F$22*COS(F$23*$E54+F$24) + F$25*SIN(F$27*$E54+F$28) + F$26*COS(F$27*$E54+F$28)</f>
        <v>0.000900079122889474</v>
      </c>
      <c r="G54" s="0" t="n">
        <f aca="false">G$8+G$9*SIN(G$11*$E54+G$12)+G$10*COS(G$11*$E54+G$12)+G$13*SIN(G$15*$E54+G$16)+G$14*COS(G$15*$E54+G$16)+G$17*SIN(G$19*$E54+G$20)+G$18*COS(G$19*$E54+G$20) + G$21*SIN(G$23*$E54+G$24)+G$22*COS(G$23*$E54+G$24) + G$25*SIN(G$27*$E54+G$28) + G$26*COS(G$27*$E54+G$28)</f>
        <v>0.000667814869839918</v>
      </c>
      <c r="H54" s="0" t="n">
        <f aca="false">H$8+H$9*SIN(H$11*$E54+H$12)+H$10*COS(H$11*$E54+H$12)+H$13*SIN(H$15*$E54+H$16)+H$14*COS(H$15*$E54+H$16)+H$17*SIN(H$19*$E54+H$20)+H$18*COS(H$19*$E54+H$20) + H$21*SIN(H$23*$E54+H$24)+H$22*COS(H$23*$E54+H$24) + H$25*SIN(H$27*$E54+H$28) + H$26*COS(H$27*$E54+H$28)</f>
        <v>0.000849422810340076</v>
      </c>
      <c r="I54" s="0" t="n">
        <f aca="false">I$8+I$9*SIN(I$11*$E54+I$12)+I$10*COS(I$11*$E54+I$12)+I$13*SIN(I$15*$E54+I$16)+I$14*COS(I$15*$E54+I$16)+I$17*SIN(I$19*$E54+I$20)+I$18*COS(I$19*$E54+I$20) + I$21*SIN(I$23*$E54+I$24)+I$22*COS(I$23*$E54+I$24) + I$25*SIN(I$27*$E54+I$28) + I$26*COS(I$27*$E54+I$28)</f>
        <v>0.000628958632536453</v>
      </c>
      <c r="J54" s="0" t="n">
        <f aca="false">J$8+J$9*SIN(J$11*$E54+J$12)+J$10*COS(J$11*$E54+J$12)+J$13*SIN(J$15*$E54+J$16)+J$14*COS(J$15*$E54+J$16)+J$17*SIN(J$19*$E54+J$20)+J$18*COS(J$19*$E54+J$20) + J$21*SIN(J$23*$E54+J$24)+J$22*COS(J$23*$E54+J$24) + J$25*SIN(J$27*$E54+J$28) + J$26*COS(J$27*$E54+J$28)</f>
        <v>0.000819296755141984</v>
      </c>
      <c r="K54" s="0" t="n">
        <f aca="false">K$8+K$9*SIN(K$11*$E54+K$12)+K$10*COS(K$11*$E54+K$12)+K$13*SIN(K$15*$E54+K$16)+K$14*COS(K$15*$E54+K$16)+K$17*SIN(K$19*$E54+K$20)+K$18*COS(K$19*$E54+K$20) + K$21*SIN(K$23*$E54+K$24)+K$22*COS(K$23*$E54+K$24) + K$25*SIN(K$27*$E54+K$28) + K$26*COS(K$27*$E54+K$28)</f>
        <v>0.00060189693721715</v>
      </c>
      <c r="L54" s="0" t="n">
        <f aca="false">L$8+L$9*SIN(L$11*$E54+L$12)+L$10*COS(L$11*$E54+L$12)+L$13*SIN(L$15*$E54+L$16)+L$14*COS(L$15*$E54+L$16)+L$17*SIN(L$19*$E54+L$20)+L$18*COS(L$19*$E54+L$20) + L$21*SIN(L$23*$E54+L$24)+L$22*COS(L$23*$E54+L$24) + L$25*SIN(L$27*$E54+L$28) + L$26*COS(L$27*$E54+L$28)</f>
        <v>0.000765154118621168</v>
      </c>
      <c r="M54" s="0" t="n">
        <f aca="false">M$8+M$9*SIN(M$11*$E54+M$12)+M$10*COS(M$11*$E54+M$12)+M$13*SIN(M$15*$E54+M$16)+M$14*COS(M$15*$E54+M$16)+M$17*SIN(M$19*$E54+M$20)+M$18*COS(M$19*$E54+M$20) + M$21*SIN(M$23*$E54+M$24)+M$22*COS(M$23*$E54+M$24) + M$25*SIN(M$27*$E54+M$28) + M$26*COS(M$27*$E54+M$28)</f>
        <v>0.000627167037914382</v>
      </c>
      <c r="N54" s="0" t="n">
        <f aca="false">N$8+N$9*SIN(N$11*$E54+N$12)+N$10*COS(N$11*$E54+N$12)+N$13*SIN(N$15*$E54+N$16)+N$14*COS(N$15*$E54+N$16)+N$17*SIN(N$19*$E54+N$20)+N$18*COS(N$19*$E54+N$20) + N$21*SIN(N$23*$E54+N$24)+N$22*COS(N$23*$E54+N$24) + N$25*SIN(N$27*$E54+N$28) + N$26*COS(N$27*$E54+N$28)</f>
        <v>0.000755249248149127</v>
      </c>
      <c r="O54" s="0" t="n">
        <f aca="false">O$8+O$9*SIN(O$11*$E54+O$12)+O$10*COS(O$11*$E54+O$12)+O$13*SIN(O$15*$E54+O$16)+O$14*COS(O$15*$E54+O$16)+O$17*SIN(O$19*$E54+O$20)+O$18*COS(O$19*$E54+O$20) + O$21*SIN(O$23*$E54+O$24)+O$22*COS(O$23*$E54+O$24) + O$25*SIN(O$27*$E54+O$28) + O$26*COS(O$27*$E54+O$28)</f>
        <v>0.000630314074543369</v>
      </c>
      <c r="P54" s="0" t="n">
        <f aca="false">P$8+P$9*SIN(P$11*$E54+P$12)+P$10*COS(P$11*$E54+P$12)+P$13*SIN(P$15*$E54+P$16)+P$14*COS(P$15*$E54+P$16)+P$17*SIN(P$19*$E54+P$20)+P$18*COS(P$19*$E54+P$20) + P$21*SIN(P$23*$E54+P$24)+P$22*COS(P$23*$E54+P$24) + P$25*SIN(P$27*$E54+P$28) + P$26*COS(P$27*$E54+P$28)</f>
        <v>0.000558861600204738</v>
      </c>
      <c r="Q54" s="0" t="n">
        <f aca="false">Q$8+Q$9*SIN(Q$11*$E54+Q$12)+Q$10*COS(Q$11*$E54+Q$12)+Q$13*SIN(Q$15*$E54+Q$16)+Q$14*COS(Q$15*$E54+Q$16)+Q$17*SIN(Q$19*$E54+Q$20)+Q$18*COS(Q$19*$E54+Q$20) + Q$21*SIN(Q$23*$E54+Q$24)+Q$22*COS(Q$23*$E54+Q$24) + Q$25*SIN(Q$27*$E54+Q$28) + Q$26*COS(Q$27*$E54+Q$28)</f>
        <v>0.000623182815897541</v>
      </c>
      <c r="R54" s="0" t="n">
        <f aca="false">R$8+R$9*SIN(R$11*$E54+R$12)+R$10*COS(R$11*$E54+R$12)+R$13*SIN(R$15*$E54+R$16)+R$14*COS(R$15*$E54+R$16)+R$17*SIN(R$19*$E54+R$20)+R$18*COS(R$19*$E54+R$20) + R$21*SIN(R$23*$E54+R$24)+R$22*COS(R$23*$E54+R$24) + R$25*SIN(R$27*$E54+R$28) + R$26*COS(R$27*$E54+R$28)</f>
        <v>0.000819309209092062</v>
      </c>
      <c r="S54" s="0" t="n">
        <f aca="false">S$8+S$9*SIN(S$11*$E54+S$12)+S$10*COS(S$11*$E54+S$12)+S$13*SIN(S$15*$E54+S$16)+S$14*COS(S$15*$E54+S$16)+S$17*SIN(S$19*$E54+S$20)+S$18*COS(S$19*$E54+S$20) + S$21*SIN(S$23*$E54+S$24)+S$22*COS(S$23*$E54+S$24) + S$25*SIN(S$27*$E54+S$28) + S$26*COS(S$27*$E54+S$28)</f>
        <v>0.000596749868330604</v>
      </c>
      <c r="T54" s="0" t="n">
        <f aca="false">T$8+T$9*SIN(T$11*$E54+T$12)+T$10*COS(T$11*$E54+T$12)+T$13*SIN(T$15*$E54+T$16)+T$14*COS(T$15*$E54+T$16)+T$17*SIN(T$19*$E54+T$20)+T$18*COS(T$19*$E54+T$20) + T$21*SIN(T$23*$E54+T$24)+T$22*COS(T$23*$E54+T$24) + T$25*SIN(T$27*$E54+T$28) + T$26*COS(T$27*$E54+T$28)</f>
        <v>0.000686251269023689</v>
      </c>
      <c r="U54" s="0" t="n">
        <f aca="false">U$8+U$9*SIN(U$11*$E54+U$12)+U$10*COS(U$11*$E54+U$12)+U$13*SIN(U$15*$E54+U$16)+U$14*COS(U$15*$E54+U$16)+U$17*SIN(U$19*$E54+U$20)+U$18*COS(U$19*$E54+U$20) + U$21*SIN(U$23*$E54+U$24)+U$22*COS(U$23*$E54+U$24) + U$25*SIN(U$27*$E54+U$28) + U$26*COS(U$27*$E54+U$28)</f>
        <v>0.000568824041574298</v>
      </c>
      <c r="V54" s="0" t="n">
        <f aca="false">V$8+V$9*SIN(V$11*$E54+V$12)+V$10*COS(V$11*$E54+V$12)+V$13*SIN(V$15*$E54+V$16)+V$14*COS(V$15*$E54+V$16)+V$17*SIN(V$19*$E54+V$20)+V$18*COS(V$19*$E54+V$20) + V$21*SIN(V$23*$E54+V$24)+V$22*COS(V$23*$E54+V$24) + V$25*SIN(V$27*$E54+V$28) + V$26*COS(V$27*$E54+V$28)</f>
        <v>0.00076870207703082</v>
      </c>
      <c r="W54" s="0" t="n">
        <f aca="false">W$8+W$9*SIN(W$11*$E54+W$12)+W$10*COS(W$11*$E54+W$12)+W$13*SIN(W$15*$E54+W$16)+W$14*COS(W$15*$E54+W$16)+W$17*SIN(W$19*$E54+W$20)+W$18*COS(W$19*$E54+W$20) + W$21*SIN(W$23*$E54+W$24)+W$22*COS(W$23*$E54+W$24) + W$25*SIN(W$27*$E54+W$28) + W$26*COS(W$27*$E54+W$28)</f>
        <v>0.000625167496742885</v>
      </c>
      <c r="X54" s="0" t="n">
        <f aca="false">X$8+X$9*SIN(X$11*$E54+X$12)+X$10*COS(X$11*$E54+X$12)+X$13*SIN(X$15*$E54+X$16)+X$14*COS(X$15*$E54+X$16)+X$17*SIN(X$19*$E54+X$20)+X$18*COS(X$19*$E54+X$20) + X$21*SIN(X$23*$E54+X$24)+X$22*COS(X$23*$E54+X$24) + X$25*SIN(X$27*$E54+X$28) + X$26*COS(X$27*$E54+X$28)</f>
        <v>0.00070554975768763</v>
      </c>
      <c r="Y54" s="0" t="n">
        <f aca="false">Y$8+Y$9*SIN(Y$11*$E54+Y$12)+Y$10*COS(Y$11*$E54+Y$12)+Y$13*SIN(Y$15*$E54+Y$16)+Y$14*COS(Y$15*$E54+Y$16)+Y$17*SIN(Y$19*$E54+Y$20)+Y$18*COS(Y$19*$E54+Y$20) + Y$21*SIN(Y$23*$E54+Y$24)+Y$22*COS(Y$23*$E54+Y$24) + Y$25*SIN(Y$27*$E54+Y$28) + Y$26*COS(Y$27*$E54+Y$28)</f>
        <v>0.000582453952195785</v>
      </c>
      <c r="Z54" s="0" t="n">
        <f aca="false">Z$8+Z$9*SIN(Z$11*$E54+Z$12)+Z$10*COS(Z$11*$E54+Z$12)+Z$13*SIN(Z$15*$E54+Z$16)+Z$14*COS(Z$15*$E54+Z$16)+Z$17*SIN(Z$19*$E54+Z$20)+Z$18*COS(Z$19*$E54+Z$20) + Z$21*SIN(Z$23*$E54+Z$24)+Z$22*COS(Z$23*$E54+Z$24) + Z$25*SIN(Z$27*$E54+Z$28) + Z$26*COS(Z$27*$E54+Z$28)</f>
        <v>0.00078684164383803</v>
      </c>
      <c r="AA54" s="0" t="n">
        <f aca="false">AA$8+AA$9*SIN(AA$11*$E54+AA$12)+AA$10*COS(AA$11*$E54+AA$12)+AA$13*SIN(AA$15*$E54+AA$16)+AA$14*COS(AA$15*$E54+AA$16)+AA$17*SIN(AA$19*$E54+AA$20)+AA$18*COS(AA$19*$E54+AA$20) + AA$21*SIN(AA$23*$E54+AA$24)+AA$22*COS(AA$23*$E54+AA$24) + AA$25*SIN(AA$27*$E54+AA$28) + AA$26*COS(AA$27*$E54+AA$28)</f>
        <v>0.000716964308439468</v>
      </c>
      <c r="AB54" s="0" t="n">
        <f aca="false">AB$8+AB$9*SIN(AB$11*$E54+AB$12)+AB$10*COS(AB$11*$E54+AB$12)+AB$13*SIN(AB$15*$E54+AB$16)+AB$14*COS(AB$15*$E54+AB$16)+AB$17*SIN(AB$19*$E54+AB$20)+AB$18*COS(AB$19*$E54+AB$20) + AB$21*SIN(AB$23*$E54+AB$24)+AB$22*COS(AB$23*$E54+AB$24) + AB$25*SIN(AB$27*$E54+AB$28) + AB$26*COS(AB$27*$E54+AB$28)</f>
        <v>0.000640287675678962</v>
      </c>
      <c r="AC54" s="0" t="n">
        <f aca="false">AC$8+AC$9*SIN(AC$11*$E54+AC$12)+AC$10*COS(AC$11*$E54+AC$12)+AC$13*SIN(AC$15*$E54+AC$16)+AC$14*COS(AC$15*$E54+AC$16)+AC$17*SIN(AC$19*$E54+AC$20)+AC$18*COS(AC$19*$E54+AC$20) + AC$21*SIN(AC$23*$E54+AC$24)+AC$22*COS(AC$23*$E54+AC$24) + AC$25*SIN(AC$27*$E54+AC$28) + AC$26*COS(AC$27*$E54+AC$28)</f>
        <v>0.000565048138009405</v>
      </c>
      <c r="AJ54" s="5" t="n">
        <v>-0.128</v>
      </c>
      <c r="AK54" s="5" t="n">
        <v>0.098</v>
      </c>
      <c r="AL54" s="5" t="n">
        <v>0</v>
      </c>
      <c r="AM54" s="5" t="n">
        <v>-0.192</v>
      </c>
      <c r="AN54" s="5" t="n">
        <v>-0.382</v>
      </c>
      <c r="AO54" s="5" t="n">
        <v>0</v>
      </c>
    </row>
    <row r="55" customFormat="false" ht="15" hidden="false" customHeight="false" outlineLevel="0" collapsed="false">
      <c r="E55" s="0" t="n">
        <v>8</v>
      </c>
      <c r="F55" s="0" t="n">
        <f aca="false">F$8+F$9*SIN(F$11*$E55+F$12)+F$10*COS(F$11*$E55+F$12)+F$13*SIN(F$15*$E55+F$16)+F$14*COS(F$15*$E55+F$16)+F$17*SIN(F$19*$E55+F$20)+F$18*COS(F$19*$E55+F$20) + F$21*SIN(F$23*$E55+F$24)+F$22*COS(F$23*$E55+F$24) + F$25*SIN(F$27*$E55+F$28) + F$26*COS(F$27*$E55+F$28)</f>
        <v>0.000935504662779861</v>
      </c>
      <c r="G55" s="0" t="n">
        <f aca="false">G$8+G$9*SIN(G$11*$E55+G$12)+G$10*COS(G$11*$E55+G$12)+G$13*SIN(G$15*$E55+G$16)+G$14*COS(G$15*$E55+G$16)+G$17*SIN(G$19*$E55+G$20)+G$18*COS(G$19*$E55+G$20) + G$21*SIN(G$23*$E55+G$24)+G$22*COS(G$23*$E55+G$24) + G$25*SIN(G$27*$E55+G$28) + G$26*COS(G$27*$E55+G$28)</f>
        <v>0.000696522028115256</v>
      </c>
      <c r="H55" s="0" t="n">
        <f aca="false">H$8+H$9*SIN(H$11*$E55+H$12)+H$10*COS(H$11*$E55+H$12)+H$13*SIN(H$15*$E55+H$16)+H$14*COS(H$15*$E55+H$16)+H$17*SIN(H$19*$E55+H$20)+H$18*COS(H$19*$E55+H$20) + H$21*SIN(H$23*$E55+H$24)+H$22*COS(H$23*$E55+H$24) + H$25*SIN(H$27*$E55+H$28) + H$26*COS(H$27*$E55+H$28)</f>
        <v>0.000929975658685367</v>
      </c>
      <c r="I55" s="0" t="n">
        <f aca="false">I$8+I$9*SIN(I$11*$E55+I$12)+I$10*COS(I$11*$E55+I$12)+I$13*SIN(I$15*$E55+I$16)+I$14*COS(I$15*$E55+I$16)+I$17*SIN(I$19*$E55+I$20)+I$18*COS(I$19*$E55+I$20) + I$21*SIN(I$23*$E55+I$24)+I$22*COS(I$23*$E55+I$24) + I$25*SIN(I$27*$E55+I$28) + I$26*COS(I$27*$E55+I$28)</f>
        <v>0.000672772577485467</v>
      </c>
      <c r="J55" s="0" t="n">
        <f aca="false">J$8+J$9*SIN(J$11*$E55+J$12)+J$10*COS(J$11*$E55+J$12)+J$13*SIN(J$15*$E55+J$16)+J$14*COS(J$15*$E55+J$16)+J$17*SIN(J$19*$E55+J$20)+J$18*COS(J$19*$E55+J$20) + J$21*SIN(J$23*$E55+J$24)+J$22*COS(J$23*$E55+J$24) + J$25*SIN(J$27*$E55+J$28) + J$26*COS(J$27*$E55+J$28)</f>
        <v>0.000819297859875461</v>
      </c>
      <c r="K55" s="0" t="n">
        <f aca="false">K$8+K$9*SIN(K$11*$E55+K$12)+K$10*COS(K$11*$E55+K$12)+K$13*SIN(K$15*$E55+K$16)+K$14*COS(K$15*$E55+K$16)+K$17*SIN(K$19*$E55+K$20)+K$18*COS(K$19*$E55+K$20) + K$21*SIN(K$23*$E55+K$24)+K$22*COS(K$23*$E55+K$24) + K$25*SIN(K$27*$E55+K$28) + K$26*COS(K$27*$E55+K$28)</f>
        <v>0.00063902221860843</v>
      </c>
      <c r="L55" s="0" t="n">
        <f aca="false">L$8+L$9*SIN(L$11*$E55+L$12)+L$10*COS(L$11*$E55+L$12)+L$13*SIN(L$15*$E55+L$16)+L$14*COS(L$15*$E55+L$16)+L$17*SIN(L$19*$E55+L$20)+L$18*COS(L$19*$E55+L$20) + L$21*SIN(L$23*$E55+L$24)+L$22*COS(L$23*$E55+L$24) + L$25*SIN(L$27*$E55+L$28) + L$26*COS(L$27*$E55+L$28)</f>
        <v>0.00076172316624308</v>
      </c>
      <c r="M55" s="0" t="n">
        <f aca="false">M$8+M$9*SIN(M$11*$E55+M$12)+M$10*COS(M$11*$E55+M$12)+M$13*SIN(M$15*$E55+M$16)+M$14*COS(M$15*$E55+M$16)+M$17*SIN(M$19*$E55+M$20)+M$18*COS(M$19*$E55+M$20) + M$21*SIN(M$23*$E55+M$24)+M$22*COS(M$23*$E55+M$24) + M$25*SIN(M$27*$E55+M$28) + M$26*COS(M$27*$E55+M$28)</f>
        <v>0.000649111283623819</v>
      </c>
      <c r="N55" s="0" t="n">
        <f aca="false">N$8+N$9*SIN(N$11*$E55+N$12)+N$10*COS(N$11*$E55+N$12)+N$13*SIN(N$15*$E55+N$16)+N$14*COS(N$15*$E55+N$16)+N$17*SIN(N$19*$E55+N$20)+N$18*COS(N$19*$E55+N$20) + N$21*SIN(N$23*$E55+N$24)+N$22*COS(N$23*$E55+N$24) + N$25*SIN(N$27*$E55+N$28) + N$26*COS(N$27*$E55+N$28)</f>
        <v>0.000822526141302254</v>
      </c>
      <c r="O55" s="0" t="n">
        <f aca="false">O$8+O$9*SIN(O$11*$E55+O$12)+O$10*COS(O$11*$E55+O$12)+O$13*SIN(O$15*$E55+O$16)+O$14*COS(O$15*$E55+O$16)+O$17*SIN(O$19*$E55+O$20)+O$18*COS(O$19*$E55+O$20) + O$21*SIN(O$23*$E55+O$24)+O$22*COS(O$23*$E55+O$24) + O$25*SIN(O$27*$E55+O$28) + O$26*COS(O$27*$E55+O$28)</f>
        <v>0.00065899983791611</v>
      </c>
      <c r="P55" s="0" t="n">
        <f aca="false">P$8+P$9*SIN(P$11*$E55+P$12)+P$10*COS(P$11*$E55+P$12)+P$13*SIN(P$15*$E55+P$16)+P$14*COS(P$15*$E55+P$16)+P$17*SIN(P$19*$E55+P$20)+P$18*COS(P$19*$E55+P$20) + P$21*SIN(P$23*$E55+P$24)+P$22*COS(P$23*$E55+P$24) + P$25*SIN(P$27*$E55+P$28) + P$26*COS(P$27*$E55+P$28)</f>
        <v>0.000550811971936407</v>
      </c>
      <c r="Q55" s="0" t="n">
        <f aca="false">Q$8+Q$9*SIN(Q$11*$E55+Q$12)+Q$10*COS(Q$11*$E55+Q$12)+Q$13*SIN(Q$15*$E55+Q$16)+Q$14*COS(Q$15*$E55+Q$16)+Q$17*SIN(Q$19*$E55+Q$20)+Q$18*COS(Q$19*$E55+Q$20) + Q$21*SIN(Q$23*$E55+Q$24)+Q$22*COS(Q$23*$E55+Q$24) + Q$25*SIN(Q$27*$E55+Q$28) + Q$26*COS(Q$27*$E55+Q$28)</f>
        <v>0.000669722072678978</v>
      </c>
      <c r="R55" s="0" t="n">
        <f aca="false">R$8+R$9*SIN(R$11*$E55+R$12)+R$10*COS(R$11*$E55+R$12)+R$13*SIN(R$15*$E55+R$16)+R$14*COS(R$15*$E55+R$16)+R$17*SIN(R$19*$E55+R$20)+R$18*COS(R$19*$E55+R$20) + R$21*SIN(R$23*$E55+R$24)+R$22*COS(R$23*$E55+R$24) + R$25*SIN(R$27*$E55+R$28) + R$26*COS(R$27*$E55+R$28)</f>
        <v>0.000819325409091354</v>
      </c>
      <c r="S55" s="0" t="n">
        <f aca="false">S$8+S$9*SIN(S$11*$E55+S$12)+S$10*COS(S$11*$E55+S$12)+S$13*SIN(S$15*$E55+S$16)+S$14*COS(S$15*$E55+S$16)+S$17*SIN(S$19*$E55+S$20)+S$18*COS(S$19*$E55+S$20) + S$21*SIN(S$23*$E55+S$24)+S$22*COS(S$23*$E55+S$24) + S$25*SIN(S$27*$E55+S$28) + S$26*COS(S$27*$E55+S$28)</f>
        <v>0.000648139045203719</v>
      </c>
      <c r="T55" s="0" t="n">
        <f aca="false">T$8+T$9*SIN(T$11*$E55+T$12)+T$10*COS(T$11*$E55+T$12)+T$13*SIN(T$15*$E55+T$16)+T$14*COS(T$15*$E55+T$16)+T$17*SIN(T$19*$E55+T$20)+T$18*COS(T$19*$E55+T$20) + T$21*SIN(T$23*$E55+T$24)+T$22*COS(T$23*$E55+T$24) + T$25*SIN(T$27*$E55+T$28) + T$26*COS(T$27*$E55+T$28)</f>
        <v>0.000759438288369422</v>
      </c>
      <c r="U55" s="0" t="n">
        <f aca="false">U$8+U$9*SIN(U$11*$E55+U$12)+U$10*COS(U$11*$E55+U$12)+U$13*SIN(U$15*$E55+U$16)+U$14*COS(U$15*$E55+U$16)+U$17*SIN(U$19*$E55+U$20)+U$18*COS(U$19*$E55+U$20) + U$21*SIN(U$23*$E55+U$24)+U$22*COS(U$23*$E55+U$24) + U$25*SIN(U$27*$E55+U$28) + U$26*COS(U$27*$E55+U$28)</f>
        <v>0.000624596658070425</v>
      </c>
      <c r="V55" s="0" t="n">
        <f aca="false">V$8+V$9*SIN(V$11*$E55+V$12)+V$10*COS(V$11*$E55+V$12)+V$13*SIN(V$15*$E55+V$16)+V$14*COS(V$15*$E55+V$16)+V$17*SIN(V$19*$E55+V$20)+V$18*COS(V$19*$E55+V$20) + V$21*SIN(V$23*$E55+V$24)+V$22*COS(V$23*$E55+V$24) + V$25*SIN(V$27*$E55+V$28) + V$26*COS(V$27*$E55+V$28)</f>
        <v>0.000840703728738827</v>
      </c>
      <c r="W55" s="0" t="n">
        <f aca="false">W$8+W$9*SIN(W$11*$E55+W$12)+W$10*COS(W$11*$E55+W$12)+W$13*SIN(W$15*$E55+W$16)+W$14*COS(W$15*$E55+W$16)+W$17*SIN(W$19*$E55+W$20)+W$18*COS(W$19*$E55+W$20) + W$21*SIN(W$23*$E55+W$24)+W$22*COS(W$23*$E55+W$24) + W$25*SIN(W$27*$E55+W$28) + W$26*COS(W$27*$E55+W$28)</f>
        <v>0.00067899483667861</v>
      </c>
      <c r="X55" s="0" t="n">
        <f aca="false">X$8+X$9*SIN(X$11*$E55+X$12)+X$10*COS(X$11*$E55+X$12)+X$13*SIN(X$15*$E55+X$16)+X$14*COS(X$15*$E55+X$16)+X$17*SIN(X$19*$E55+X$20)+X$18*COS(X$19*$E55+X$20) + X$21*SIN(X$23*$E55+X$24)+X$22*COS(X$23*$E55+X$24) + X$25*SIN(X$27*$E55+X$28) + X$26*COS(X$27*$E55+X$28)</f>
        <v>0.000774821663283535</v>
      </c>
      <c r="Y55" s="0" t="n">
        <f aca="false">Y$8+Y$9*SIN(Y$11*$E55+Y$12)+Y$10*COS(Y$11*$E55+Y$12)+Y$13*SIN(Y$15*$E55+Y$16)+Y$14*COS(Y$15*$E55+Y$16)+Y$17*SIN(Y$19*$E55+Y$20)+Y$18*COS(Y$19*$E55+Y$20) + Y$21*SIN(Y$23*$E55+Y$24)+Y$22*COS(Y$23*$E55+Y$24) + Y$25*SIN(Y$27*$E55+Y$28) + Y$26*COS(Y$27*$E55+Y$28)</f>
        <v>0.000640600122294323</v>
      </c>
      <c r="Z55" s="0" t="n">
        <f aca="false">Z$8+Z$9*SIN(Z$11*$E55+Z$12)+Z$10*COS(Z$11*$E55+Z$12)+Z$13*SIN(Z$15*$E55+Z$16)+Z$14*COS(Z$15*$E55+Z$16)+Z$17*SIN(Z$19*$E55+Z$20)+Z$18*COS(Z$19*$E55+Z$20) + Z$21*SIN(Z$23*$E55+Z$24)+Z$22*COS(Z$23*$E55+Z$24) + Z$25*SIN(Z$27*$E55+Z$28) + Z$26*COS(Z$27*$E55+Z$28)</f>
        <v>0.000835530757285184</v>
      </c>
      <c r="AA55" s="0" t="n">
        <f aca="false">AA$8+AA$9*SIN(AA$11*$E55+AA$12)+AA$10*COS(AA$11*$E55+AA$12)+AA$13*SIN(AA$15*$E55+AA$16)+AA$14*COS(AA$15*$E55+AA$16)+AA$17*SIN(AA$19*$E55+AA$20)+AA$18*COS(AA$19*$E55+AA$20) + AA$21*SIN(AA$23*$E55+AA$24)+AA$22*COS(AA$23*$E55+AA$24) + AA$25*SIN(AA$27*$E55+AA$28) + AA$26*COS(AA$27*$E55+AA$28)</f>
        <v>0.000716958237552319</v>
      </c>
      <c r="AB55" s="0" t="n">
        <f aca="false">AB$8+AB$9*SIN(AB$11*$E55+AB$12)+AB$10*COS(AB$11*$E55+AB$12)+AB$13*SIN(AB$15*$E55+AB$16)+AB$14*COS(AB$15*$E55+AB$16)+AB$17*SIN(AB$19*$E55+AB$20)+AB$18*COS(AB$19*$E55+AB$20) + AB$21*SIN(AB$23*$E55+AB$24)+AB$22*COS(AB$23*$E55+AB$24) + AB$25*SIN(AB$27*$E55+AB$28) + AB$26*COS(AB$27*$E55+AB$28)</f>
        <v>0.000634318607428988</v>
      </c>
      <c r="AC55" s="0" t="n">
        <f aca="false">AC$8+AC$9*SIN(AC$11*$E55+AC$12)+AC$10*COS(AC$11*$E55+AC$12)+AC$13*SIN(AC$15*$E55+AC$16)+AC$14*COS(AC$15*$E55+AC$16)+AC$17*SIN(AC$19*$E55+AC$20)+AC$18*COS(AC$19*$E55+AC$20) + AC$21*SIN(AC$23*$E55+AC$24)+AC$22*COS(AC$23*$E55+AC$24) + AC$25*SIN(AC$27*$E55+AC$28) + AC$26*COS(AC$27*$E55+AC$28)</f>
        <v>0.000617233129010421</v>
      </c>
      <c r="AJ55" s="5" t="n">
        <v>1.991</v>
      </c>
      <c r="AK55" s="5" t="n">
        <v>2.138</v>
      </c>
      <c r="AL55" s="5" t="n">
        <v>2.125</v>
      </c>
      <c r="AM55" s="5" t="n">
        <v>2.062</v>
      </c>
      <c r="AN55" s="5" t="n">
        <v>2.225</v>
      </c>
      <c r="AO55" s="5" t="n">
        <v>0</v>
      </c>
    </row>
    <row r="56" customFormat="false" ht="15" hidden="false" customHeight="false" outlineLevel="0" collapsed="false">
      <c r="E56" s="0" t="n">
        <v>9</v>
      </c>
      <c r="F56" s="0" t="n">
        <f aca="false">F$8+F$9*SIN(F$11*$E56+F$12)+F$10*COS(F$11*$E56+F$12)+F$13*SIN(F$15*$E56+F$16)+F$14*COS(F$15*$E56+F$16)+F$17*SIN(F$19*$E56+F$20)+F$18*COS(F$19*$E56+F$20) + F$21*SIN(F$23*$E56+F$24)+F$22*COS(F$23*$E56+F$24) + F$25*SIN(F$27*$E56+F$28) + F$26*COS(F$27*$E56+F$28)</f>
        <v>0.000922728149624265</v>
      </c>
      <c r="G56" s="0" t="n">
        <f aca="false">G$8+G$9*SIN(G$11*$E56+G$12)+G$10*COS(G$11*$E56+G$12)+G$13*SIN(G$15*$E56+G$16)+G$14*COS(G$15*$E56+G$16)+G$17*SIN(G$19*$E56+G$20)+G$18*COS(G$19*$E56+G$20) + G$21*SIN(G$23*$E56+G$24)+G$22*COS(G$23*$E56+G$24) + G$25*SIN(G$27*$E56+G$28) + G$26*COS(G$27*$E56+G$28)</f>
        <v>0.00073370707799173</v>
      </c>
      <c r="H56" s="0" t="n">
        <f aca="false">H$8+H$9*SIN(H$11*$E56+H$12)+H$10*COS(H$11*$E56+H$12)+H$13*SIN(H$15*$E56+H$16)+H$14*COS(H$15*$E56+H$16)+H$17*SIN(H$19*$E56+H$20)+H$18*COS(H$19*$E56+H$20) + H$21*SIN(H$23*$E56+H$24)+H$22*COS(H$23*$E56+H$24) + H$25*SIN(H$27*$E56+H$28) + H$26*COS(H$27*$E56+H$28)</f>
        <v>0.000956690332726229</v>
      </c>
      <c r="I56" s="0" t="n">
        <f aca="false">I$8+I$9*SIN(I$11*$E56+I$12)+I$10*COS(I$11*$E56+I$12)+I$13*SIN(I$15*$E56+I$16)+I$14*COS(I$15*$E56+I$16)+I$17*SIN(I$19*$E56+I$20)+I$18*COS(I$19*$E56+I$20) + I$21*SIN(I$23*$E56+I$24)+I$22*COS(I$23*$E56+I$24) + I$25*SIN(I$27*$E56+I$28) + I$26*COS(I$27*$E56+I$28)</f>
        <v>0.000703359676554675</v>
      </c>
      <c r="J56" s="0" t="n">
        <f aca="false">J$8+J$9*SIN(J$11*$E56+J$12)+J$10*COS(J$11*$E56+J$12)+J$13*SIN(J$15*$E56+J$16)+J$14*COS(J$15*$E56+J$16)+J$17*SIN(J$19*$E56+J$20)+J$18*COS(J$19*$E56+J$20) + J$21*SIN(J$23*$E56+J$24)+J$22*COS(J$23*$E56+J$24) + J$25*SIN(J$27*$E56+J$28) + J$26*COS(J$27*$E56+J$28)</f>
        <v>0.00081930390830715</v>
      </c>
      <c r="K56" s="0" t="n">
        <f aca="false">K$8+K$9*SIN(K$11*$E56+K$12)+K$10*COS(K$11*$E56+K$12)+K$13*SIN(K$15*$E56+K$16)+K$14*COS(K$15*$E56+K$16)+K$17*SIN(K$19*$E56+K$20)+K$18*COS(K$19*$E56+K$20) + K$21*SIN(K$23*$E56+K$24)+K$22*COS(K$23*$E56+K$24) + K$25*SIN(K$27*$E56+K$28) + K$26*COS(K$27*$E56+K$28)</f>
        <v>0.00070054893592987</v>
      </c>
      <c r="L56" s="0" t="n">
        <f aca="false">L$8+L$9*SIN(L$11*$E56+L$12)+L$10*COS(L$11*$E56+L$12)+L$13*SIN(L$15*$E56+L$16)+L$14*COS(L$15*$E56+L$16)+L$17*SIN(L$19*$E56+L$20)+L$18*COS(L$19*$E56+L$20) + L$21*SIN(L$23*$E56+L$24)+L$22*COS(L$23*$E56+L$24) + L$25*SIN(L$27*$E56+L$28) + L$26*COS(L$27*$E56+L$28)</f>
        <v>0.000772246427615217</v>
      </c>
      <c r="M56" s="0" t="n">
        <f aca="false">M$8+M$9*SIN(M$11*$E56+M$12)+M$10*COS(M$11*$E56+M$12)+M$13*SIN(M$15*$E56+M$16)+M$14*COS(M$15*$E56+M$16)+M$17*SIN(M$19*$E56+M$20)+M$18*COS(M$19*$E56+M$20) + M$21*SIN(M$23*$E56+M$24)+M$22*COS(M$23*$E56+M$24) + M$25*SIN(M$27*$E56+M$28) + M$26*COS(M$27*$E56+M$28)</f>
        <v>0.000676118572480751</v>
      </c>
      <c r="N56" s="0" t="n">
        <f aca="false">N$8+N$9*SIN(N$11*$E56+N$12)+N$10*COS(N$11*$E56+N$12)+N$13*SIN(N$15*$E56+N$16)+N$14*COS(N$15*$E56+N$16)+N$17*SIN(N$19*$E56+N$20)+N$18*COS(N$19*$E56+N$20) + N$21*SIN(N$23*$E56+N$24)+N$22*COS(N$23*$E56+N$24) + N$25*SIN(N$27*$E56+N$28) + N$26*COS(N$27*$E56+N$28)</f>
        <v>0.000850314504831752</v>
      </c>
      <c r="O56" s="0" t="n">
        <f aca="false">O$8+O$9*SIN(O$11*$E56+O$12)+O$10*COS(O$11*$E56+O$12)+O$13*SIN(O$15*$E56+O$16)+O$14*COS(O$15*$E56+O$16)+O$17*SIN(O$19*$E56+O$20)+O$18*COS(O$19*$E56+O$20) + O$21*SIN(O$23*$E56+O$24)+O$22*COS(O$23*$E56+O$24) + O$25*SIN(O$27*$E56+O$28) + O$26*COS(O$27*$E56+O$28)</f>
        <v>0.000732495582428233</v>
      </c>
      <c r="P56" s="0" t="n">
        <f aca="false">P$8+P$9*SIN(P$11*$E56+P$12)+P$10*COS(P$11*$E56+P$12)+P$13*SIN(P$15*$E56+P$16)+P$14*COS(P$15*$E56+P$16)+P$17*SIN(P$19*$E56+P$20)+P$18*COS(P$19*$E56+P$20) + P$21*SIN(P$23*$E56+P$24)+P$22*COS(P$23*$E56+P$24) + P$25*SIN(P$27*$E56+P$28) + P$26*COS(P$27*$E56+P$28)</f>
        <v>0.000543181808387888</v>
      </c>
      <c r="Q56" s="0" t="n">
        <f aca="false">Q$8+Q$9*SIN(Q$11*$E56+Q$12)+Q$10*COS(Q$11*$E56+Q$12)+Q$13*SIN(Q$15*$E56+Q$16)+Q$14*COS(Q$15*$E56+Q$16)+Q$17*SIN(Q$19*$E56+Q$20)+Q$18*COS(Q$19*$E56+Q$20) + Q$21*SIN(Q$23*$E56+Q$24)+Q$22*COS(Q$23*$E56+Q$24) + Q$25*SIN(Q$27*$E56+Q$28) + Q$26*COS(Q$27*$E56+Q$28)</f>
        <v>0.000701190631199757</v>
      </c>
      <c r="R56" s="0" t="n">
        <f aca="false">R$8+R$9*SIN(R$11*$E56+R$12)+R$10*COS(R$11*$E56+R$12)+R$13*SIN(R$15*$E56+R$16)+R$14*COS(R$15*$E56+R$16)+R$17*SIN(R$19*$E56+R$20)+R$18*COS(R$19*$E56+R$20) + R$21*SIN(R$23*$E56+R$24)+R$22*COS(R$23*$E56+R$24) + R$25*SIN(R$27*$E56+R$28) + R$26*COS(R$27*$E56+R$28)</f>
        <v>0.000819335722599804</v>
      </c>
      <c r="S56" s="0" t="n">
        <f aca="false">S$8+S$9*SIN(S$11*$E56+S$12)+S$10*COS(S$11*$E56+S$12)+S$13*SIN(S$15*$E56+S$16)+S$14*COS(S$15*$E56+S$16)+S$17*SIN(S$19*$E56+S$20)+S$18*COS(S$19*$E56+S$20) + S$21*SIN(S$23*$E56+S$24)+S$22*COS(S$23*$E56+S$24) + S$25*SIN(S$27*$E56+S$28) + S$26*COS(S$27*$E56+S$28)</f>
        <v>0.000675873928777776</v>
      </c>
      <c r="T56" s="0" t="n">
        <f aca="false">T$8+T$9*SIN(T$11*$E56+T$12)+T$10*COS(T$11*$E56+T$12)+T$13*SIN(T$15*$E56+T$16)+T$14*COS(T$15*$E56+T$16)+T$17*SIN(T$19*$E56+T$20)+T$18*COS(T$19*$E56+T$20) + T$21*SIN(T$23*$E56+T$24)+T$22*COS(T$23*$E56+T$24) + T$25*SIN(T$27*$E56+T$28) + T$26*COS(T$27*$E56+T$28)</f>
        <v>0.00081369014054562</v>
      </c>
      <c r="U56" s="0" t="n">
        <f aca="false">U$8+U$9*SIN(U$11*$E56+U$12)+U$10*COS(U$11*$E56+U$12)+U$13*SIN(U$15*$E56+U$16)+U$14*COS(U$15*$E56+U$16)+U$17*SIN(U$19*$E56+U$20)+U$18*COS(U$19*$E56+U$20) + U$21*SIN(U$23*$E56+U$24)+U$22*COS(U$23*$E56+U$24) + U$25*SIN(U$27*$E56+U$28) + U$26*COS(U$27*$E56+U$28)</f>
        <v>0.000651791145477046</v>
      </c>
      <c r="V56" s="0" t="n">
        <f aca="false">V$8+V$9*SIN(V$11*$E56+V$12)+V$10*COS(V$11*$E56+V$12)+V$13*SIN(V$15*$E56+V$16)+V$14*COS(V$15*$E56+V$16)+V$17*SIN(V$19*$E56+V$20)+V$18*COS(V$19*$E56+V$20) + V$21*SIN(V$23*$E56+V$24)+V$22*COS(V$23*$E56+V$24) + V$25*SIN(V$27*$E56+V$28) + V$26*COS(V$27*$E56+V$28)</f>
        <v>0.00089422510465161</v>
      </c>
      <c r="W56" s="0" t="n">
        <f aca="false">W$8+W$9*SIN(W$11*$E56+W$12)+W$10*COS(W$11*$E56+W$12)+W$13*SIN(W$15*$E56+W$16)+W$14*COS(W$15*$E56+W$16)+W$17*SIN(W$19*$E56+W$20)+W$18*COS(W$19*$E56+W$20) + W$21*SIN(W$23*$E56+W$24)+W$22*COS(W$23*$E56+W$24) + W$25*SIN(W$27*$E56+W$28) + W$26*COS(W$27*$E56+W$28)</f>
        <v>0.000658863930959694</v>
      </c>
      <c r="X56" s="0" t="n">
        <f aca="false">X$8+X$9*SIN(X$11*$E56+X$12)+X$10*COS(X$11*$E56+X$12)+X$13*SIN(X$15*$E56+X$16)+X$14*COS(X$15*$E56+X$16)+X$17*SIN(X$19*$E56+X$20)+X$18*COS(X$19*$E56+X$20) + X$21*SIN(X$23*$E56+X$24)+X$22*COS(X$23*$E56+X$24) + X$25*SIN(X$27*$E56+X$28) + X$26*COS(X$27*$E56+X$28)</f>
        <v>0.00084225389961818</v>
      </c>
      <c r="Y56" s="0" t="n">
        <f aca="false">Y$8+Y$9*SIN(Y$11*$E56+Y$12)+Y$10*COS(Y$11*$E56+Y$12)+Y$13*SIN(Y$15*$E56+Y$16)+Y$14*COS(Y$15*$E56+Y$16)+Y$17*SIN(Y$19*$E56+Y$20)+Y$18*COS(Y$19*$E56+Y$20) + Y$21*SIN(Y$23*$E56+Y$24)+Y$22*COS(Y$23*$E56+Y$24) + Y$25*SIN(Y$27*$E56+Y$28) + Y$26*COS(Y$27*$E56+Y$28)</f>
        <v>0.000690429668881406</v>
      </c>
      <c r="Z56" s="0" t="n">
        <f aca="false">Z$8+Z$9*SIN(Z$11*$E56+Z$12)+Z$10*COS(Z$11*$E56+Z$12)+Z$13*SIN(Z$15*$E56+Z$16)+Z$14*COS(Z$15*$E56+Z$16)+Z$17*SIN(Z$19*$E56+Z$20)+Z$18*COS(Z$19*$E56+Z$20) + Z$21*SIN(Z$23*$E56+Z$24)+Z$22*COS(Z$23*$E56+Z$24) + Z$25*SIN(Z$27*$E56+Z$28) + Z$26*COS(Z$27*$E56+Z$28)</f>
        <v>0.000907859761312086</v>
      </c>
      <c r="AA56" s="0" t="n">
        <f aca="false">AA$8+AA$9*SIN(AA$11*$E56+AA$12)+AA$10*COS(AA$11*$E56+AA$12)+AA$13*SIN(AA$15*$E56+AA$16)+AA$14*COS(AA$15*$E56+AA$16)+AA$17*SIN(AA$19*$E56+AA$20)+AA$18*COS(AA$19*$E56+AA$20) + AA$21*SIN(AA$23*$E56+AA$24)+AA$22*COS(AA$23*$E56+AA$24) + AA$25*SIN(AA$27*$E56+AA$28) + AA$26*COS(AA$27*$E56+AA$28)</f>
        <v>0.000717006654340594</v>
      </c>
      <c r="AB56" s="0" t="n">
        <f aca="false">AB$8+AB$9*SIN(AB$11*$E56+AB$12)+AB$10*COS(AB$11*$E56+AB$12)+AB$13*SIN(AB$15*$E56+AB$16)+AB$14*COS(AB$15*$E56+AB$16)+AB$17*SIN(AB$19*$E56+AB$20)+AB$18*COS(AB$19*$E56+AB$20) + AB$21*SIN(AB$23*$E56+AB$24)+AB$22*COS(AB$23*$E56+AB$24) + AB$25*SIN(AB$27*$E56+AB$28) + AB$26*COS(AB$27*$E56+AB$28)</f>
        <v>0.000630706458009953</v>
      </c>
      <c r="AC56" s="0" t="n">
        <f aca="false">AC$8+AC$9*SIN(AC$11*$E56+AC$12)+AC$10*COS(AC$11*$E56+AC$12)+AC$13*SIN(AC$15*$E56+AC$16)+AC$14*COS(AC$15*$E56+AC$16)+AC$17*SIN(AC$19*$E56+AC$20)+AC$18*COS(AC$19*$E56+AC$20) + AC$21*SIN(AC$23*$E56+AC$24)+AC$22*COS(AC$23*$E56+AC$24) + AC$25*SIN(AC$27*$E56+AC$28) + AC$26*COS(AC$27*$E56+AC$28)</f>
        <v>0.000663567394359315</v>
      </c>
      <c r="AJ56" s="5" t="n">
        <v>0</v>
      </c>
      <c r="AK56" s="5" t="n">
        <v>0</v>
      </c>
      <c r="AL56" s="5" t="n">
        <v>6.278</v>
      </c>
      <c r="AM56" s="5" t="n">
        <v>5.117</v>
      </c>
      <c r="AN56" s="5" t="n">
        <v>4.964</v>
      </c>
      <c r="AO56" s="5" t="n">
        <v>0</v>
      </c>
    </row>
    <row r="57" customFormat="false" ht="15" hidden="false" customHeight="false" outlineLevel="0" collapsed="false">
      <c r="E57" s="0" t="n">
        <v>10</v>
      </c>
      <c r="F57" s="0" t="n">
        <f aca="false">F$8+F$9*SIN(F$11*$E57+F$12)+F$10*COS(F$11*$E57+F$12)+F$13*SIN(F$15*$E57+F$16)+F$14*COS(F$15*$E57+F$16)+F$17*SIN(F$19*$E57+F$20)+F$18*COS(F$19*$E57+F$20) + F$21*SIN(F$23*$E57+F$24)+F$22*COS(F$23*$E57+F$24) + F$25*SIN(F$27*$E57+F$28) + F$26*COS(F$27*$E57+F$28)</f>
        <v>0.00089431589666692</v>
      </c>
      <c r="G57" s="0" t="n">
        <f aca="false">G$8+G$9*SIN(G$11*$E57+G$12)+G$10*COS(G$11*$E57+G$12)+G$13*SIN(G$15*$E57+G$16)+G$14*COS(G$15*$E57+G$16)+G$17*SIN(G$19*$E57+G$20)+G$18*COS(G$19*$E57+G$20) + G$21*SIN(G$23*$E57+G$24)+G$22*COS(G$23*$E57+G$24) + G$25*SIN(G$27*$E57+G$28) + G$26*COS(G$27*$E57+G$28)</f>
        <v>0.000765749492075331</v>
      </c>
      <c r="H57" s="0" t="n">
        <f aca="false">H$8+H$9*SIN(H$11*$E57+H$12)+H$10*COS(H$11*$E57+H$12)+H$13*SIN(H$15*$E57+H$16)+H$14*COS(H$15*$E57+H$16)+H$17*SIN(H$19*$E57+H$20)+H$18*COS(H$19*$E57+H$20) + H$21*SIN(H$23*$E57+H$24)+H$22*COS(H$23*$E57+H$24) + H$25*SIN(H$27*$E57+H$28) + H$26*COS(H$27*$E57+H$28)</f>
        <v>0.000935447323414639</v>
      </c>
      <c r="I57" s="0" t="n">
        <f aca="false">I$8+I$9*SIN(I$11*$E57+I$12)+I$10*COS(I$11*$E57+I$12)+I$13*SIN(I$15*$E57+I$16)+I$14*COS(I$15*$E57+I$16)+I$17*SIN(I$19*$E57+I$20)+I$18*COS(I$19*$E57+I$20) + I$21*SIN(I$23*$E57+I$24)+I$22*COS(I$23*$E57+I$24) + I$25*SIN(I$27*$E57+I$28) + I$26*COS(I$27*$E57+I$28)</f>
        <v>0.000719270285351783</v>
      </c>
      <c r="J57" s="0" t="n">
        <f aca="false">J$8+J$9*SIN(J$11*$E57+J$12)+J$10*COS(J$11*$E57+J$12)+J$13*SIN(J$15*$E57+J$16)+J$14*COS(J$15*$E57+J$16)+J$17*SIN(J$19*$E57+J$20)+J$18*COS(J$19*$E57+J$20) + J$21*SIN(J$23*$E57+J$24)+J$22*COS(J$23*$E57+J$24) + J$25*SIN(J$27*$E57+J$28) + J$26*COS(J$27*$E57+J$28)</f>
        <v>0.000819315972055389</v>
      </c>
      <c r="K57" s="0" t="n">
        <f aca="false">K$8+K$9*SIN(K$11*$E57+K$12)+K$10*COS(K$11*$E57+K$12)+K$13*SIN(K$15*$E57+K$16)+K$14*COS(K$15*$E57+K$16)+K$17*SIN(K$19*$E57+K$20)+K$18*COS(K$19*$E57+K$20) + K$21*SIN(K$23*$E57+K$24)+K$22*COS(K$23*$E57+K$24) + K$25*SIN(K$27*$E57+K$28) + K$26*COS(K$27*$E57+K$28)</f>
        <v>0.000675157434902752</v>
      </c>
      <c r="L57" s="0" t="n">
        <f aca="false">L$8+L$9*SIN(L$11*$E57+L$12)+L$10*COS(L$11*$E57+L$12)+L$13*SIN(L$15*$E57+L$16)+L$14*COS(L$15*$E57+L$16)+L$17*SIN(L$19*$E57+L$20)+L$18*COS(L$19*$E57+L$20) + L$21*SIN(L$23*$E57+L$24)+L$22*COS(L$23*$E57+L$24) + L$25*SIN(L$27*$E57+L$28) + L$26*COS(L$27*$E57+L$28)</f>
        <v>0.00080819068845914</v>
      </c>
      <c r="M57" s="0" t="n">
        <f aca="false">M$8+M$9*SIN(M$11*$E57+M$12)+M$10*COS(M$11*$E57+M$12)+M$13*SIN(M$15*$E57+M$16)+M$14*COS(M$15*$E57+M$16)+M$17*SIN(M$19*$E57+M$20)+M$18*COS(M$19*$E57+M$20) + M$21*SIN(M$23*$E57+M$24)+M$22*COS(M$23*$E57+M$24) + M$25*SIN(M$27*$E57+M$28) + M$26*COS(M$27*$E57+M$28)</f>
        <v>0.000714621890284411</v>
      </c>
      <c r="N57" s="0" t="n">
        <f aca="false">N$8+N$9*SIN(N$11*$E57+N$12)+N$10*COS(N$11*$E57+N$12)+N$13*SIN(N$15*$E57+N$16)+N$14*COS(N$15*$E57+N$16)+N$17*SIN(N$19*$E57+N$20)+N$18*COS(N$19*$E57+N$20) + N$21*SIN(N$23*$E57+N$24)+N$22*COS(N$23*$E57+N$24) + N$25*SIN(N$27*$E57+N$28) + N$26*COS(N$27*$E57+N$28)</f>
        <v>0.000853986224288882</v>
      </c>
      <c r="O57" s="0" t="n">
        <f aca="false">O$8+O$9*SIN(O$11*$E57+O$12)+O$10*COS(O$11*$E57+O$12)+O$13*SIN(O$15*$E57+O$16)+O$14*COS(O$15*$E57+O$16)+O$17*SIN(O$19*$E57+O$20)+O$18*COS(O$19*$E57+O$20) + O$21*SIN(O$23*$E57+O$24)+O$22*COS(O$23*$E57+O$24) + O$25*SIN(O$27*$E57+O$28) + O$26*COS(O$27*$E57+O$28)</f>
        <v>0.000742100919925958</v>
      </c>
      <c r="P57" s="0" t="n">
        <f aca="false">P$8+P$9*SIN(P$11*$E57+P$12)+P$10*COS(P$11*$E57+P$12)+P$13*SIN(P$15*$E57+P$16)+P$14*COS(P$15*$E57+P$16)+P$17*SIN(P$19*$E57+P$20)+P$18*COS(P$19*$E57+P$20) + P$21*SIN(P$23*$E57+P$24)+P$22*COS(P$23*$E57+P$24) + P$25*SIN(P$27*$E57+P$28) + P$26*COS(P$27*$E57+P$28)</f>
        <v>0.000536230758351137</v>
      </c>
      <c r="Q57" s="0" t="n">
        <f aca="false">Q$8+Q$9*SIN(Q$11*$E57+Q$12)+Q$10*COS(Q$11*$E57+Q$12)+Q$13*SIN(Q$15*$E57+Q$16)+Q$14*COS(Q$15*$E57+Q$16)+Q$17*SIN(Q$19*$E57+Q$20)+Q$18*COS(Q$19*$E57+Q$20) + Q$21*SIN(Q$23*$E57+Q$24)+Q$22*COS(Q$23*$E57+Q$24) + Q$25*SIN(Q$27*$E57+Q$28) + Q$26*COS(Q$27*$E57+Q$28)</f>
        <v>0.000722868589523672</v>
      </c>
      <c r="R57" s="0" t="n">
        <f aca="false">R$8+R$9*SIN(R$11*$E57+R$12)+R$10*COS(R$11*$E57+R$12)+R$13*SIN(R$15*$E57+R$16)+R$14*COS(R$15*$E57+R$16)+R$17*SIN(R$19*$E57+R$20)+R$18*COS(R$19*$E57+R$20) + R$21*SIN(R$23*$E57+R$24)+R$22*COS(R$23*$E57+R$24) + R$25*SIN(R$27*$E57+R$28) + R$26*COS(R$27*$E57+R$28)</f>
        <v>0.000819343925663975</v>
      </c>
      <c r="S57" s="0" t="n">
        <f aca="false">S$8+S$9*SIN(S$11*$E57+S$12)+S$10*COS(S$11*$E57+S$12)+S$13*SIN(S$15*$E57+S$16)+S$14*COS(S$15*$E57+S$16)+S$17*SIN(S$19*$E57+S$20)+S$18*COS(S$19*$E57+S$20) + S$21*SIN(S$23*$E57+S$24)+S$22*COS(S$23*$E57+S$24) + S$25*SIN(S$27*$E57+S$28) + S$26*COS(S$27*$E57+S$28)</f>
        <v>0.000688634136030217</v>
      </c>
      <c r="T57" s="0" t="n">
        <f aca="false">T$8+T$9*SIN(T$11*$E57+T$12)+T$10*COS(T$11*$E57+T$12)+T$13*SIN(T$15*$E57+T$16)+T$14*COS(T$15*$E57+T$16)+T$17*SIN(T$19*$E57+T$20)+T$18*COS(T$19*$E57+T$20) + T$21*SIN(T$23*$E57+T$24)+T$22*COS(T$23*$E57+T$24) + T$25*SIN(T$27*$E57+T$28) + T$26*COS(T$27*$E57+T$28)</f>
        <v>0.00084592832437802</v>
      </c>
      <c r="U57" s="0" t="n">
        <f aca="false">U$8+U$9*SIN(U$11*$E57+U$12)+U$10*COS(U$11*$E57+U$12)+U$13*SIN(U$15*$E57+U$16)+U$14*COS(U$15*$E57+U$16)+U$17*SIN(U$19*$E57+U$20)+U$18*COS(U$19*$E57+U$20) + U$21*SIN(U$23*$E57+U$24)+U$22*COS(U$23*$E57+U$24) + U$25*SIN(U$27*$E57+U$28) + U$26*COS(U$27*$E57+U$28)</f>
        <v>0.000645780565853807</v>
      </c>
      <c r="V57" s="0" t="n">
        <f aca="false">V$8+V$9*SIN(V$11*$E57+V$12)+V$10*COS(V$11*$E57+V$12)+V$13*SIN(V$15*$E57+V$16)+V$14*COS(V$15*$E57+V$16)+V$17*SIN(V$19*$E57+V$20)+V$18*COS(V$19*$E57+V$20) + V$21*SIN(V$23*$E57+V$24)+V$22*COS(V$23*$E57+V$24) + V$25*SIN(V$27*$E57+V$28) + V$26*COS(V$27*$E57+V$28)</f>
        <v>0.000942859594538919</v>
      </c>
      <c r="W57" s="0" t="n">
        <f aca="false">W$8+W$9*SIN(W$11*$E57+W$12)+W$10*COS(W$11*$E57+W$12)+W$13*SIN(W$15*$E57+W$16)+W$14*COS(W$15*$E57+W$16)+W$17*SIN(W$19*$E57+W$20)+W$18*COS(W$19*$E57+W$20) + W$21*SIN(W$23*$E57+W$24)+W$22*COS(W$23*$E57+W$24) + W$25*SIN(W$27*$E57+W$28) + W$26*COS(W$27*$E57+W$28)</f>
        <v>0.000737922704628425</v>
      </c>
      <c r="X57" s="0" t="n">
        <f aca="false">X$8+X$9*SIN(X$11*$E57+X$12)+X$10*COS(X$11*$E57+X$12)+X$13*SIN(X$15*$E57+X$16)+X$14*COS(X$15*$E57+X$16)+X$17*SIN(X$19*$E57+X$20)+X$18*COS(X$19*$E57+X$20) + X$21*SIN(X$23*$E57+X$24)+X$22*COS(X$23*$E57+X$24) + X$25*SIN(X$27*$E57+X$28) + X$26*COS(X$27*$E57+X$28)</f>
        <v>0.000894302183757973</v>
      </c>
      <c r="Y57" s="0" t="n">
        <f aca="false">Y$8+Y$9*SIN(Y$11*$E57+Y$12)+Y$10*COS(Y$11*$E57+Y$12)+Y$13*SIN(Y$15*$E57+Y$16)+Y$14*COS(Y$15*$E57+Y$16)+Y$17*SIN(Y$19*$E57+Y$20)+Y$18*COS(Y$19*$E57+Y$20) + Y$21*SIN(Y$23*$E57+Y$24)+Y$22*COS(Y$23*$E57+Y$24) + Y$25*SIN(Y$27*$E57+Y$28) + Y$26*COS(Y$27*$E57+Y$28)</f>
        <v>0.000765668892149756</v>
      </c>
      <c r="Z57" s="0" t="n">
        <f aca="false">Z$8+Z$9*SIN(Z$11*$E57+Z$12)+Z$10*COS(Z$11*$E57+Z$12)+Z$13*SIN(Z$15*$E57+Z$16)+Z$14*COS(Z$15*$E57+Z$16)+Z$17*SIN(Z$19*$E57+Z$20)+Z$18*COS(Z$19*$E57+Z$20) + Z$21*SIN(Z$23*$E57+Z$24)+Z$22*COS(Z$23*$E57+Z$24) + Z$25*SIN(Z$27*$E57+Z$28) + Z$26*COS(Z$27*$E57+Z$28)</f>
        <v>0.000953099865972937</v>
      </c>
      <c r="AA57" s="0" t="n">
        <f aca="false">AA$8+AA$9*SIN(AA$11*$E57+AA$12)+AA$10*COS(AA$11*$E57+AA$12)+AA$13*SIN(AA$15*$E57+AA$16)+AA$14*COS(AA$15*$E57+AA$16)+AA$17*SIN(AA$19*$E57+AA$20)+AA$18*COS(AA$19*$E57+AA$20) + AA$21*SIN(AA$23*$E57+AA$24)+AA$22*COS(AA$23*$E57+AA$24) + AA$25*SIN(AA$27*$E57+AA$28) + AA$26*COS(AA$27*$E57+AA$28)</f>
        <v>0.000717055231918244</v>
      </c>
      <c r="AB57" s="0" t="n">
        <f aca="false">AB$8+AB$9*SIN(AB$11*$E57+AB$12)+AB$10*COS(AB$11*$E57+AB$12)+AB$13*SIN(AB$15*$E57+AB$16)+AB$14*COS(AB$15*$E57+AB$16)+AB$17*SIN(AB$19*$E57+AB$20)+AB$18*COS(AB$19*$E57+AB$20) + AB$21*SIN(AB$23*$E57+AB$24)+AB$22*COS(AB$23*$E57+AB$24) + AB$25*SIN(AB$27*$E57+AB$28) + AB$26*COS(AB$27*$E57+AB$28)</f>
        <v>0.000629195430906916</v>
      </c>
      <c r="AC57" s="0" t="n">
        <f aca="false">AC$8+AC$9*SIN(AC$11*$E57+AC$12)+AC$10*COS(AC$11*$E57+AC$12)+AC$13*SIN(AC$15*$E57+AC$16)+AC$14*COS(AC$15*$E57+AC$16)+AC$17*SIN(AC$19*$E57+AC$20)+AC$18*COS(AC$19*$E57+AC$20) + AC$21*SIN(AC$23*$E57+AC$24)+AC$22*COS(AC$23*$E57+AC$24) + AC$25*SIN(AC$27*$E57+AC$28) + AC$26*COS(AC$27*$E57+AC$28)</f>
        <v>0.000661093517964401</v>
      </c>
      <c r="AJ57" s="5" t="n">
        <v>0</v>
      </c>
      <c r="AK57" s="5" t="n">
        <v>-0.096</v>
      </c>
      <c r="AL57" s="5" t="n">
        <v>0</v>
      </c>
      <c r="AM57" s="5" t="n">
        <v>0</v>
      </c>
      <c r="AN57" s="5" t="n">
        <v>0</v>
      </c>
      <c r="AO57" s="5" t="n">
        <v>0</v>
      </c>
    </row>
    <row r="58" customFormat="false" ht="15" hidden="false" customHeight="false" outlineLevel="0" collapsed="false">
      <c r="E58" s="0" t="n">
        <v>11</v>
      </c>
      <c r="F58" s="0" t="n">
        <f aca="false">F$8+F$9*SIN(F$11*$E58+F$12)+F$10*COS(F$11*$E58+F$12)+F$13*SIN(F$15*$E58+F$16)+F$14*COS(F$15*$E58+F$16)+F$17*SIN(F$19*$E58+F$20)+F$18*COS(F$19*$E58+F$20) + F$21*SIN(F$23*$E58+F$24)+F$22*COS(F$23*$E58+F$24) + F$25*SIN(F$27*$E58+F$28) + F$26*COS(F$27*$E58+F$28)</f>
        <v>0.000888575420454914</v>
      </c>
      <c r="G58" s="0" t="n">
        <f aca="false">G$8+G$9*SIN(G$11*$E58+G$12)+G$10*COS(G$11*$E58+G$12)+G$13*SIN(G$15*$E58+G$16)+G$14*COS(G$15*$E58+G$16)+G$17*SIN(G$19*$E58+G$20)+G$18*COS(G$19*$E58+G$20) + G$21*SIN(G$23*$E58+G$24)+G$22*COS(G$23*$E58+G$24) + G$25*SIN(G$27*$E58+G$28) + G$26*COS(G$27*$E58+G$28)</f>
        <v>0.000777621530263667</v>
      </c>
      <c r="H58" s="0" t="n">
        <f aca="false">H$8+H$9*SIN(H$11*$E58+H$12)+H$10*COS(H$11*$E58+H$12)+H$13*SIN(H$15*$E58+H$16)+H$14*COS(H$15*$E58+H$16)+H$17*SIN(H$19*$E58+H$20)+H$18*COS(H$19*$E58+H$20) + H$21*SIN(H$23*$E58+H$24)+H$22*COS(H$23*$E58+H$24) + H$25*SIN(H$27*$E58+H$28) + H$26*COS(H$27*$E58+H$28)</f>
        <v>0.000902237348743994</v>
      </c>
      <c r="I58" s="0" t="n">
        <f aca="false">I$8+I$9*SIN(I$11*$E58+I$12)+I$10*COS(I$11*$E58+I$12)+I$13*SIN(I$15*$E58+I$16)+I$14*COS(I$15*$E58+I$16)+I$17*SIN(I$19*$E58+I$20)+I$18*COS(I$19*$E58+I$20) + I$21*SIN(I$23*$E58+I$24)+I$22*COS(I$23*$E58+I$24) + I$25*SIN(I$27*$E58+I$28) + I$26*COS(I$27*$E58+I$28)</f>
        <v>0.000734187738116297</v>
      </c>
      <c r="J58" s="0" t="n">
        <f aca="false">J$8+J$9*SIN(J$11*$E58+J$12)+J$10*COS(J$11*$E58+J$12)+J$13*SIN(J$15*$E58+J$16)+J$14*COS(J$15*$E58+J$16)+J$17*SIN(J$19*$E58+J$20)+J$18*COS(J$19*$E58+J$20) + J$21*SIN(J$23*$E58+J$24)+J$22*COS(J$23*$E58+J$24) + J$25*SIN(J$27*$E58+J$28) + J$26*COS(J$27*$E58+J$28)</f>
        <v>0.000819331400177587</v>
      </c>
      <c r="K58" s="0" t="n">
        <f aca="false">K$8+K$9*SIN(K$11*$E58+K$12)+K$10*COS(K$11*$E58+K$12)+K$13*SIN(K$15*$E58+K$16)+K$14*COS(K$15*$E58+K$16)+K$17*SIN(K$19*$E58+K$20)+K$18*COS(K$19*$E58+K$20) + K$21*SIN(K$23*$E58+K$24)+K$22*COS(K$23*$E58+K$24) + K$25*SIN(K$27*$E58+K$28) + K$26*COS(K$27*$E58+K$28)</f>
        <v>0.000654902848328121</v>
      </c>
      <c r="L58" s="0" t="n">
        <f aca="false">L$8+L$9*SIN(L$11*$E58+L$12)+L$10*COS(L$11*$E58+L$12)+L$13*SIN(L$15*$E58+L$16)+L$14*COS(L$15*$E58+L$16)+L$17*SIN(L$19*$E58+L$20)+L$18*COS(L$19*$E58+L$20) + L$21*SIN(L$23*$E58+L$24)+L$22*COS(L$23*$E58+L$24) + L$25*SIN(L$27*$E58+L$28) + L$26*COS(L$27*$E58+L$28)</f>
        <v>0.000859858765081248</v>
      </c>
      <c r="M58" s="0" t="n">
        <f aca="false">M$8+M$9*SIN(M$11*$E58+M$12)+M$10*COS(M$11*$E58+M$12)+M$13*SIN(M$15*$E58+M$16)+M$14*COS(M$15*$E58+M$16)+M$17*SIN(M$19*$E58+M$20)+M$18*COS(M$19*$E58+M$20) + M$21*SIN(M$23*$E58+M$24)+M$22*COS(M$23*$E58+M$24) + M$25*SIN(M$27*$E58+M$28) + M$26*COS(M$27*$E58+M$28)</f>
        <v>0.000760303097466788</v>
      </c>
      <c r="N58" s="0" t="n">
        <f aca="false">N$8+N$9*SIN(N$11*$E58+N$12)+N$10*COS(N$11*$E58+N$12)+N$13*SIN(N$15*$E58+N$16)+N$14*COS(N$15*$E58+N$16)+N$17*SIN(N$19*$E58+N$20)+N$18*COS(N$19*$E58+N$20) + N$21*SIN(N$23*$E58+N$24)+N$22*COS(N$23*$E58+N$24) + N$25*SIN(N$27*$E58+N$28) + N$26*COS(N$27*$E58+N$28)</f>
        <v>0.000881925709435598</v>
      </c>
      <c r="O58" s="0" t="n">
        <f aca="false">O$8+O$9*SIN(O$11*$E58+O$12)+O$10*COS(O$11*$E58+O$12)+O$13*SIN(O$15*$E58+O$16)+O$14*COS(O$15*$E58+O$16)+O$17*SIN(O$19*$E58+O$20)+O$18*COS(O$19*$E58+O$20) + O$21*SIN(O$23*$E58+O$24)+O$22*COS(O$23*$E58+O$24) + O$25*SIN(O$27*$E58+O$28) + O$26*COS(O$27*$E58+O$28)</f>
        <v>0.000754234619394359</v>
      </c>
      <c r="P58" s="0" t="n">
        <f aca="false">P$8+P$9*SIN(P$11*$E58+P$12)+P$10*COS(P$11*$E58+P$12)+P$13*SIN(P$15*$E58+P$16)+P$14*COS(P$15*$E58+P$16)+P$17*SIN(P$19*$E58+P$20)+P$18*COS(P$19*$E58+P$20) + P$21*SIN(P$23*$E58+P$24)+P$22*COS(P$23*$E58+P$24) + P$25*SIN(P$27*$E58+P$28) + P$26*COS(P$27*$E58+P$28)</f>
        <v>0.000530292528801949</v>
      </c>
      <c r="Q58" s="0" t="n">
        <f aca="false">Q$8+Q$9*SIN(Q$11*$E58+Q$12)+Q$10*COS(Q$11*$E58+Q$12)+Q$13*SIN(Q$15*$E58+Q$16)+Q$14*COS(Q$15*$E58+Q$16)+Q$17*SIN(Q$19*$E58+Q$20)+Q$18*COS(Q$19*$E58+Q$20) + Q$21*SIN(Q$23*$E58+Q$24)+Q$22*COS(Q$23*$E58+Q$24) + Q$25*SIN(Q$27*$E58+Q$28) + Q$26*COS(Q$27*$E58+Q$28)</f>
        <v>0.000748028516267039</v>
      </c>
      <c r="R58" s="0" t="n">
        <f aca="false">R$8+R$9*SIN(R$11*$E58+R$12)+R$10*COS(R$11*$E58+R$12)+R$13*SIN(R$15*$E58+R$16)+R$14*COS(R$15*$E58+R$16)+R$17*SIN(R$19*$E58+R$20)+R$18*COS(R$19*$E58+R$20) + R$21*SIN(R$23*$E58+R$24)+R$22*COS(R$23*$E58+R$24) + R$25*SIN(R$27*$E58+R$28) + R$26*COS(R$27*$E58+R$28)</f>
        <v>0.000819355698151652</v>
      </c>
      <c r="S58" s="0" t="n">
        <f aca="false">S$8+S$9*SIN(S$11*$E58+S$12)+S$10*COS(S$11*$E58+S$12)+S$13*SIN(S$15*$E58+S$16)+S$14*COS(S$15*$E58+S$16)+S$17*SIN(S$19*$E58+S$20)+S$18*COS(S$19*$E58+S$20) + S$21*SIN(S$23*$E58+S$24)+S$22*COS(S$23*$E58+S$24) + S$25*SIN(S$27*$E58+S$28) + S$26*COS(S$27*$E58+S$28)</f>
        <v>0.000707589803804033</v>
      </c>
      <c r="T58" s="0" t="n">
        <f aca="false">T$8+T$9*SIN(T$11*$E58+T$12)+T$10*COS(T$11*$E58+T$12)+T$13*SIN(T$15*$E58+T$16)+T$14*COS(T$15*$E58+T$16)+T$17*SIN(T$19*$E58+T$20)+T$18*COS(T$19*$E58+T$20) + T$21*SIN(T$23*$E58+T$24)+T$22*COS(T$23*$E58+T$24) + T$25*SIN(T$27*$E58+T$28) + T$26*COS(T$27*$E58+T$28)</f>
        <v>0.000871276508319763</v>
      </c>
      <c r="U58" s="0" t="n">
        <f aca="false">U$8+U$9*SIN(U$11*$E58+U$12)+U$10*COS(U$11*$E58+U$12)+U$13*SIN(U$15*$E58+U$16)+U$14*COS(U$15*$E58+U$16)+U$17*SIN(U$19*$E58+U$20)+U$18*COS(U$19*$E58+U$20) + U$21*SIN(U$23*$E58+U$24)+U$22*COS(U$23*$E58+U$24) + U$25*SIN(U$27*$E58+U$28) + U$26*COS(U$27*$E58+U$28)</f>
        <v>0.000640635818245955</v>
      </c>
      <c r="V58" s="0" t="n">
        <f aca="false">V$8+V$9*SIN(V$11*$E58+V$12)+V$10*COS(V$11*$E58+V$12)+V$13*SIN(V$15*$E58+V$16)+V$14*COS(V$15*$E58+V$16)+V$17*SIN(V$19*$E58+V$20)+V$18*COS(V$19*$E58+V$20) + V$21*SIN(V$23*$E58+V$24)+V$22*COS(V$23*$E58+V$24) + V$25*SIN(V$27*$E58+V$28) + V$26*COS(V$27*$E58+V$28)</f>
        <v>0.00100293230987439</v>
      </c>
      <c r="W58" s="0" t="n">
        <f aca="false">W$8+W$9*SIN(W$11*$E58+W$12)+W$10*COS(W$11*$E58+W$12)+W$13*SIN(W$15*$E58+W$16)+W$14*COS(W$15*$E58+W$16)+W$17*SIN(W$19*$E58+W$20)+W$18*COS(W$19*$E58+W$20) + W$21*SIN(W$23*$E58+W$24)+W$22*COS(W$23*$E58+W$24) + W$25*SIN(W$27*$E58+W$28) + W$26*COS(W$27*$E58+W$28)</f>
        <v>0.000835534382128953</v>
      </c>
      <c r="X58" s="0" t="n">
        <f aca="false">X$8+X$9*SIN(X$11*$E58+X$12)+X$10*COS(X$11*$E58+X$12)+X$13*SIN(X$15*$E58+X$16)+X$14*COS(X$15*$E58+X$16)+X$17*SIN(X$19*$E58+X$20)+X$18*COS(X$19*$E58+X$20) + X$21*SIN(X$23*$E58+X$24)+X$22*COS(X$23*$E58+X$24) + X$25*SIN(X$27*$E58+X$28) + X$26*COS(X$27*$E58+X$28)</f>
        <v>0.000928602370392996</v>
      </c>
      <c r="Y58" s="0" t="n">
        <f aca="false">Y$8+Y$9*SIN(Y$11*$E58+Y$12)+Y$10*COS(Y$11*$E58+Y$12)+Y$13*SIN(Y$15*$E58+Y$16)+Y$14*COS(Y$15*$E58+Y$16)+Y$17*SIN(Y$19*$E58+Y$20)+Y$18*COS(Y$19*$E58+Y$20) + Y$21*SIN(Y$23*$E58+Y$24)+Y$22*COS(Y$23*$E58+Y$24) + Y$25*SIN(Y$27*$E58+Y$28) + Y$26*COS(Y$27*$E58+Y$28)</f>
        <v>0.000822527245028136</v>
      </c>
      <c r="Z58" s="0" t="n">
        <f aca="false">Z$8+Z$9*SIN(Z$11*$E58+Z$12)+Z$10*COS(Z$11*$E58+Z$12)+Z$13*SIN(Z$15*$E58+Z$16)+Z$14*COS(Z$15*$E58+Z$16)+Z$17*SIN(Z$19*$E58+Z$20)+Z$18*COS(Z$19*$E58+Z$20) + Z$21*SIN(Z$23*$E58+Z$24)+Z$22*COS(Z$23*$E58+Z$24) + Z$25*SIN(Z$27*$E58+Z$28) + Z$26*COS(Z$27*$E58+Z$28)</f>
        <v>0.000949775716438215</v>
      </c>
      <c r="AA58" s="0" t="n">
        <f aca="false">AA$8+AA$9*SIN(AA$11*$E58+AA$12)+AA$10*COS(AA$11*$E58+AA$12)+AA$13*SIN(AA$15*$E58+AA$16)+AA$14*COS(AA$15*$E58+AA$16)+AA$17*SIN(AA$19*$E58+AA$20)+AA$18*COS(AA$19*$E58+AA$20) + AA$21*SIN(AA$23*$E58+AA$24)+AA$22*COS(AA$23*$E58+AA$24) + AA$25*SIN(AA$27*$E58+AA$28) + AA$26*COS(AA$27*$E58+AA$28)</f>
        <v>0.000717014654935215</v>
      </c>
      <c r="AB58" s="0" t="n">
        <f aca="false">AB$8+AB$9*SIN(AB$11*$E58+AB$12)+AB$10*COS(AB$11*$E58+AB$12)+AB$13*SIN(AB$15*$E58+AB$16)+AB$14*COS(AB$15*$E58+AB$16)+AB$17*SIN(AB$19*$E58+AB$20)+AB$18*COS(AB$19*$E58+AB$20) + AB$21*SIN(AB$23*$E58+AB$24)+AB$22*COS(AB$23*$E58+AB$24) + AB$25*SIN(AB$27*$E58+AB$28) + AB$26*COS(AB$27*$E58+AB$28)</f>
        <v>0.000629498985247639</v>
      </c>
      <c r="AC58" s="0" t="n">
        <f aca="false">AC$8+AC$9*SIN(AC$11*$E58+AC$12)+AC$10*COS(AC$11*$E58+AC$12)+AC$13*SIN(AC$15*$E58+AC$16)+AC$14*COS(AC$15*$E58+AC$16)+AC$17*SIN(AC$19*$E58+AC$20)+AC$18*COS(AC$19*$E58+AC$20) + AC$21*SIN(AC$23*$E58+AC$24)+AC$22*COS(AC$23*$E58+AC$24) + AC$25*SIN(AC$27*$E58+AC$28) + AC$26*COS(AC$27*$E58+AC$28)</f>
        <v>0.000630423811159455</v>
      </c>
      <c r="AJ58" s="5" t="n">
        <v>-0.142</v>
      </c>
      <c r="AK58" s="5" t="n">
        <v>0</v>
      </c>
      <c r="AL58" s="5" t="n">
        <v>0</v>
      </c>
      <c r="AM58" s="5" t="n">
        <v>0</v>
      </c>
      <c r="AN58" s="5" t="n">
        <v>-0.064</v>
      </c>
      <c r="AO58" s="5" t="n">
        <v>-0.056</v>
      </c>
    </row>
    <row r="59" customFormat="false" ht="15" hidden="false" customHeight="false" outlineLevel="0" collapsed="false">
      <c r="E59" s="0" t="n">
        <v>12</v>
      </c>
      <c r="F59" s="0" t="n">
        <f aca="false">F$8+F$9*SIN(F$11*$E59+F$12)+F$10*COS(F$11*$E59+F$12)+F$13*SIN(F$15*$E59+F$16)+F$14*COS(F$15*$E59+F$16)+F$17*SIN(F$19*$E59+F$20)+F$18*COS(F$19*$E59+F$20) + F$21*SIN(F$23*$E59+F$24)+F$22*COS(F$23*$E59+F$24) + F$25*SIN(F$27*$E59+F$28) + F$26*COS(F$27*$E59+F$28)</f>
        <v>0.000910888400420866</v>
      </c>
      <c r="G59" s="0" t="n">
        <f aca="false">G$8+G$9*SIN(G$11*$E59+G$12)+G$10*COS(G$11*$E59+G$12)+G$13*SIN(G$15*$E59+G$16)+G$14*COS(G$15*$E59+G$16)+G$17*SIN(G$19*$E59+G$20)+G$18*COS(G$19*$E59+G$20) + G$21*SIN(G$23*$E59+G$24)+G$22*COS(G$23*$E59+G$24) + G$25*SIN(G$27*$E59+G$28) + G$26*COS(G$27*$E59+G$28)</f>
        <v>0.000768043906061638</v>
      </c>
      <c r="H59" s="0" t="n">
        <f aca="false">H$8+H$9*SIN(H$11*$E59+H$12)+H$10*COS(H$11*$E59+H$12)+H$13*SIN(H$15*$E59+H$16)+H$14*COS(H$15*$E59+H$16)+H$17*SIN(H$19*$E59+H$20)+H$18*COS(H$19*$E59+H$20) + H$21*SIN(H$23*$E59+H$24)+H$22*COS(H$23*$E59+H$24) + H$25*SIN(H$27*$E59+H$28) + H$26*COS(H$27*$E59+H$28)</f>
        <v>0.00089049329142949</v>
      </c>
      <c r="I59" s="0" t="n">
        <f aca="false">I$8+I$9*SIN(I$11*$E59+I$12)+I$10*COS(I$11*$E59+I$12)+I$13*SIN(I$15*$E59+I$16)+I$14*COS(I$15*$E59+I$16)+I$17*SIN(I$19*$E59+I$20)+I$18*COS(I$19*$E59+I$20) + I$21*SIN(I$23*$E59+I$24)+I$22*COS(I$23*$E59+I$24) + I$25*SIN(I$27*$E59+I$28) + I$26*COS(I$27*$E59+I$28)</f>
        <v>0.000759656085375349</v>
      </c>
      <c r="J59" s="0" t="n">
        <f aca="false">J$8+J$9*SIN(J$11*$E59+J$12)+J$10*COS(J$11*$E59+J$12)+J$13*SIN(J$15*$E59+J$16)+J$14*COS(J$15*$E59+J$16)+J$17*SIN(J$19*$E59+J$20)+J$18*COS(J$19*$E59+J$20) + J$21*SIN(J$23*$E59+J$24)+J$22*COS(J$23*$E59+J$24) + J$25*SIN(J$27*$E59+J$28) + J$26*COS(J$27*$E59+J$28)</f>
        <v>0.00081934496754305</v>
      </c>
      <c r="K59" s="0" t="n">
        <f aca="false">K$8+K$9*SIN(K$11*$E59+K$12)+K$10*COS(K$11*$E59+K$12)+K$13*SIN(K$15*$E59+K$16)+K$14*COS(K$15*$E59+K$16)+K$17*SIN(K$19*$E59+K$20)+K$18*COS(K$19*$E59+K$20) + K$21*SIN(K$23*$E59+K$24)+K$22*COS(K$23*$E59+K$24) + K$25*SIN(K$27*$E59+K$28) + K$26*COS(K$27*$E59+K$28)</f>
        <v>0.000672225453751669</v>
      </c>
      <c r="L59" s="0" t="n">
        <f aca="false">L$8+L$9*SIN(L$11*$E59+L$12)+L$10*COS(L$11*$E59+L$12)+L$13*SIN(L$15*$E59+L$16)+L$14*COS(L$15*$E59+L$16)+L$17*SIN(L$19*$E59+L$20)+L$18*COS(L$19*$E59+L$20) + L$21*SIN(L$23*$E59+L$24)+L$22*COS(L$23*$E59+L$24) + L$25*SIN(L$27*$E59+L$28) + L$26*COS(L$27*$E59+L$28)</f>
        <v>0.000902947132442955</v>
      </c>
      <c r="M59" s="0" t="n">
        <f aca="false">M$8+M$9*SIN(M$11*$E59+M$12)+M$10*COS(M$11*$E59+M$12)+M$13*SIN(M$15*$E59+M$16)+M$14*COS(M$15*$E59+M$16)+M$17*SIN(M$19*$E59+M$20)+M$18*COS(M$19*$E59+M$20) + M$21*SIN(M$23*$E59+M$24)+M$22*COS(M$23*$E59+M$24) + M$25*SIN(M$27*$E59+M$28) + M$26*COS(M$27*$E59+M$28)</f>
        <v>0.000798159682383225</v>
      </c>
      <c r="N59" s="0" t="n">
        <f aca="false">N$8+N$9*SIN(N$11*$E59+N$12)+N$10*COS(N$11*$E59+N$12)+N$13*SIN(N$15*$E59+N$16)+N$14*COS(N$15*$E59+N$16)+N$17*SIN(N$19*$E59+N$20)+N$18*COS(N$19*$E59+N$20) + N$21*SIN(N$23*$E59+N$24)+N$22*COS(N$23*$E59+N$24) + N$25*SIN(N$27*$E59+N$28) + N$26*COS(N$27*$E59+N$28)</f>
        <v>0.000969759794683992</v>
      </c>
      <c r="O59" s="0" t="n">
        <f aca="false">O$8+O$9*SIN(O$11*$E59+O$12)+O$10*COS(O$11*$E59+O$12)+O$13*SIN(O$15*$E59+O$16)+O$14*COS(O$15*$E59+O$16)+O$17*SIN(O$19*$E59+O$20)+O$18*COS(O$19*$E59+O$20) + O$21*SIN(O$23*$E59+O$24)+O$22*COS(O$23*$E59+O$24) + O$25*SIN(O$27*$E59+O$28) + O$26*COS(O$27*$E59+O$28)</f>
        <v>0.00075775319125817</v>
      </c>
      <c r="P59" s="0" t="n">
        <f aca="false">P$8+P$9*SIN(P$11*$E59+P$12)+P$10*COS(P$11*$E59+P$12)+P$13*SIN(P$15*$E59+P$16)+P$14*COS(P$15*$E59+P$16)+P$17*SIN(P$19*$E59+P$20)+P$18*COS(P$19*$E59+P$20) + P$21*SIN(P$23*$E59+P$24)+P$22*COS(P$23*$E59+P$24) + P$25*SIN(P$27*$E59+P$28) + P$26*COS(P$27*$E59+P$28)</f>
        <v>0.000525754390737425</v>
      </c>
      <c r="Q59" s="0" t="n">
        <f aca="false">Q$8+Q$9*SIN(Q$11*$E59+Q$12)+Q$10*COS(Q$11*$E59+Q$12)+Q$13*SIN(Q$15*$E59+Q$16)+Q$14*COS(Q$15*$E59+Q$16)+Q$17*SIN(Q$19*$E59+Q$20)+Q$18*COS(Q$19*$E59+Q$20) + Q$21*SIN(Q$23*$E59+Q$24)+Q$22*COS(Q$23*$E59+Q$24) + Q$25*SIN(Q$27*$E59+Q$28) + Q$26*COS(Q$27*$E59+Q$28)</f>
        <v>0.000780243938597523</v>
      </c>
      <c r="R59" s="0" t="n">
        <f aca="false">R$8+R$9*SIN(R$11*$E59+R$12)+R$10*COS(R$11*$E59+R$12)+R$13*SIN(R$15*$E59+R$16)+R$14*COS(R$15*$E59+R$16)+R$17*SIN(R$19*$E59+R$20)+R$18*COS(R$19*$E59+R$20) + R$21*SIN(R$23*$E59+R$24)+R$22*COS(R$23*$E59+R$24) + R$25*SIN(R$27*$E59+R$28) + R$26*COS(R$27*$E59+R$28)</f>
        <v>0.000819372537503523</v>
      </c>
      <c r="S59" s="0" t="n">
        <f aca="false">S$8+S$9*SIN(S$11*$E59+S$12)+S$10*COS(S$11*$E59+S$12)+S$13*SIN(S$15*$E59+S$16)+S$14*COS(S$15*$E59+S$16)+S$17*SIN(S$19*$E59+S$20)+S$18*COS(S$19*$E59+S$20) + S$21*SIN(S$23*$E59+S$24)+S$22*COS(S$23*$E59+S$24) + S$25*SIN(S$27*$E59+S$28) + S$26*COS(S$27*$E59+S$28)</f>
        <v>0.000743776579960196</v>
      </c>
      <c r="T59" s="0" t="n">
        <f aca="false">T$8+T$9*SIN(T$11*$E59+T$12)+T$10*COS(T$11*$E59+T$12)+T$13*SIN(T$15*$E59+T$16)+T$14*COS(T$15*$E59+T$16)+T$17*SIN(T$19*$E59+T$20)+T$18*COS(T$19*$E59+T$20) + T$21*SIN(T$23*$E59+T$24)+T$22*COS(T$23*$E59+T$24) + T$25*SIN(T$27*$E59+T$28) + T$26*COS(T$27*$E59+T$28)</f>
        <v>0.000907181787913145</v>
      </c>
      <c r="U59" s="0" t="n">
        <f aca="false">U$8+U$9*SIN(U$11*$E59+U$12)+U$10*COS(U$11*$E59+U$12)+U$13*SIN(U$15*$E59+U$16)+U$14*COS(U$15*$E59+U$16)+U$17*SIN(U$19*$E59+U$20)+U$18*COS(U$19*$E59+U$20) + U$21*SIN(U$23*$E59+U$24)+U$22*COS(U$23*$E59+U$24) + U$25*SIN(U$27*$E59+U$28) + U$26*COS(U$27*$E59+U$28)</f>
        <v>0.000673637092479856</v>
      </c>
      <c r="V59" s="0" t="n">
        <f aca="false">V$8+V$9*SIN(V$11*$E59+V$12)+V$10*COS(V$11*$E59+V$12)+V$13*SIN(V$15*$E59+V$16)+V$14*COS(V$15*$E59+V$16)+V$17*SIN(V$19*$E59+V$20)+V$18*COS(V$19*$E59+V$20) + V$21*SIN(V$23*$E59+V$24)+V$22*COS(V$23*$E59+V$24) + V$25*SIN(V$27*$E59+V$28) + V$26*COS(V$27*$E59+V$28)</f>
        <v>0.00107635311115793</v>
      </c>
      <c r="W59" s="0" t="n">
        <f aca="false">W$8+W$9*SIN(W$11*$E59+W$12)+W$10*COS(W$11*$E59+W$12)+W$13*SIN(W$15*$E59+W$16)+W$14*COS(W$15*$E59+W$16)+W$17*SIN(W$19*$E59+W$20)+W$18*COS(W$19*$E59+W$20) + W$21*SIN(W$23*$E59+W$24)+W$22*COS(W$23*$E59+W$24) + W$25*SIN(W$27*$E59+W$28) + W$26*COS(W$27*$E59+W$28)</f>
        <v>0.000823460744986098</v>
      </c>
      <c r="X59" s="0" t="n">
        <f aca="false">X$8+X$9*SIN(X$11*$E59+X$12)+X$10*COS(X$11*$E59+X$12)+X$13*SIN(X$15*$E59+X$16)+X$14*COS(X$15*$E59+X$16)+X$17*SIN(X$19*$E59+X$20)+X$18*COS(X$19*$E59+X$20) + X$21*SIN(X$23*$E59+X$24)+X$22*COS(X$23*$E59+X$24) + X$25*SIN(X$27*$E59+X$28) + X$26*COS(X$27*$E59+X$28)</f>
        <v>0.000952963444256571</v>
      </c>
      <c r="Y59" s="0" t="n">
        <f aca="false">Y$8+Y$9*SIN(Y$11*$E59+Y$12)+Y$10*COS(Y$11*$E59+Y$12)+Y$13*SIN(Y$15*$E59+Y$16)+Y$14*COS(Y$15*$E59+Y$16)+Y$17*SIN(Y$19*$E59+Y$20)+Y$18*COS(Y$19*$E59+Y$20) + Y$21*SIN(Y$23*$E59+Y$24)+Y$22*COS(Y$23*$E59+Y$24) + Y$25*SIN(Y$27*$E59+Y$28) + Y$26*COS(Y$27*$E59+Y$28)</f>
        <v>0.000823587185399265</v>
      </c>
      <c r="Z59" s="0" t="n">
        <f aca="false">Z$8+Z$9*SIN(Z$11*$E59+Z$12)+Z$10*COS(Z$11*$E59+Z$12)+Z$13*SIN(Z$15*$E59+Z$16)+Z$14*COS(Z$15*$E59+Z$16)+Z$17*SIN(Z$19*$E59+Z$20)+Z$18*COS(Z$19*$E59+Z$20) + Z$21*SIN(Z$23*$E59+Z$24)+Z$22*COS(Z$23*$E59+Z$24) + Z$25*SIN(Z$27*$E59+Z$28) + Z$26*COS(Z$27*$E59+Z$28)</f>
        <v>0.000929967932572295</v>
      </c>
      <c r="AA59" s="0" t="n">
        <f aca="false">AA$8+AA$9*SIN(AA$11*$E59+AA$12)+AA$10*COS(AA$11*$E59+AA$12)+AA$13*SIN(AA$15*$E59+AA$16)+AA$14*COS(AA$15*$E59+AA$16)+AA$17*SIN(AA$19*$E59+AA$20)+AA$18*COS(AA$19*$E59+AA$20) + AA$21*SIN(AA$23*$E59+AA$24)+AA$22*COS(AA$23*$E59+AA$24) + AA$25*SIN(AA$27*$E59+AA$28) + AA$26*COS(AA$27*$E59+AA$28)</f>
        <v>0.000717063359250065</v>
      </c>
      <c r="AB59" s="0" t="n">
        <f aca="false">AB$8+AB$9*SIN(AB$11*$E59+AB$12)+AB$10*COS(AB$11*$E59+AB$12)+AB$13*SIN(AB$15*$E59+AB$16)+AB$14*COS(AB$15*$E59+AB$16)+AB$17*SIN(AB$19*$E59+AB$20)+AB$18*COS(AB$19*$E59+AB$20) + AB$21*SIN(AB$23*$E59+AB$24)+AB$22*COS(AB$23*$E59+AB$24) + AB$25*SIN(AB$27*$E59+AB$28) + AB$26*COS(AB$27*$E59+AB$28)</f>
        <v>0.000631326478775033</v>
      </c>
      <c r="AC59" s="0" t="n">
        <f aca="false">AC$8+AC$9*SIN(AC$11*$E59+AC$12)+AC$10*COS(AC$11*$E59+AC$12)+AC$13*SIN(AC$15*$E59+AC$16)+AC$14*COS(AC$15*$E59+AC$16)+AC$17*SIN(AC$19*$E59+AC$20)+AC$18*COS(AC$19*$E59+AC$20) + AC$21*SIN(AC$23*$E59+AC$24)+AC$22*COS(AC$23*$E59+AC$24) + AC$25*SIN(AC$27*$E59+AC$28) + AC$26*COS(AC$27*$E59+AC$28)</f>
        <v>0.000630500234095357</v>
      </c>
      <c r="AJ59" s="5" t="n">
        <v>4.025</v>
      </c>
      <c r="AK59" s="5" t="n">
        <v>3.278</v>
      </c>
      <c r="AL59" s="5" t="n">
        <v>0</v>
      </c>
      <c r="AM59" s="5" t="n">
        <v>0</v>
      </c>
      <c r="AN59" s="5" t="n">
        <v>4.219</v>
      </c>
      <c r="AO59" s="5" t="n">
        <v>2.225</v>
      </c>
    </row>
    <row r="60" customFormat="false" ht="15" hidden="false" customHeight="false" outlineLevel="0" collapsed="false">
      <c r="E60" s="0" t="n">
        <v>13</v>
      </c>
      <c r="F60" s="0" t="n">
        <f aca="false">F$8+F$9*SIN(F$11*$E60+F$12)+F$10*COS(F$11*$E60+F$12)+F$13*SIN(F$15*$E60+F$16)+F$14*COS(F$15*$E60+F$16)+F$17*SIN(F$19*$E60+F$20)+F$18*COS(F$19*$E60+F$20) + F$21*SIN(F$23*$E60+F$24)+F$22*COS(F$23*$E60+F$24) + F$25*SIN(F$27*$E60+F$28) + F$26*COS(F$27*$E60+F$28)</f>
        <v>0.000933822151734981</v>
      </c>
      <c r="G60" s="0" t="n">
        <f aca="false">G$8+G$9*SIN(G$11*$E60+G$12)+G$10*COS(G$11*$E60+G$12)+G$13*SIN(G$15*$E60+G$16)+G$14*COS(G$15*$E60+G$16)+G$17*SIN(G$19*$E60+G$20)+G$18*COS(G$19*$E60+G$20) + G$21*SIN(G$23*$E60+G$24)+G$22*COS(G$23*$E60+G$24) + G$25*SIN(G$27*$E60+G$28) + G$26*COS(G$27*$E60+G$28)</f>
        <v>0.000753218385585836</v>
      </c>
      <c r="H60" s="0" t="n">
        <f aca="false">H$8+H$9*SIN(H$11*$E60+H$12)+H$10*COS(H$11*$E60+H$12)+H$13*SIN(H$15*$E60+H$16)+H$14*COS(H$15*$E60+H$16)+H$17*SIN(H$19*$E60+H$20)+H$18*COS(H$19*$E60+H$20) + H$21*SIN(H$23*$E60+H$24)+H$22*COS(H$23*$E60+H$24) + H$25*SIN(H$27*$E60+H$28) + H$26*COS(H$27*$E60+H$28)</f>
        <v>0.000905649418555533</v>
      </c>
      <c r="I60" s="0" t="n">
        <f aca="false">I$8+I$9*SIN(I$11*$E60+I$12)+I$10*COS(I$11*$E60+I$12)+I$13*SIN(I$15*$E60+I$16)+I$14*COS(I$15*$E60+I$16)+I$17*SIN(I$19*$E60+I$20)+I$18*COS(I$19*$E60+I$20) + I$21*SIN(I$23*$E60+I$24)+I$22*COS(I$23*$E60+I$24) + I$25*SIN(I$27*$E60+I$28) + I$26*COS(I$27*$E60+I$28)</f>
        <v>0.000790702709054447</v>
      </c>
      <c r="J60" s="0" t="n">
        <f aca="false">J$8+J$9*SIN(J$11*$E60+J$12)+J$10*COS(J$11*$E60+J$12)+J$13*SIN(J$15*$E60+J$16)+J$14*COS(J$15*$E60+J$16)+J$17*SIN(J$19*$E60+J$20)+J$18*COS(J$19*$E60+J$20) + J$21*SIN(J$23*$E60+J$24)+J$22*COS(J$23*$E60+J$24) + J$25*SIN(J$27*$E60+J$28) + J$26*COS(J$27*$E60+J$28)</f>
        <v>0.000819352127794919</v>
      </c>
      <c r="K60" s="0" t="n">
        <f aca="false">K$8+K$9*SIN(K$11*$E60+K$12)+K$10*COS(K$11*$E60+K$12)+K$13*SIN(K$15*$E60+K$16)+K$14*COS(K$15*$E60+K$16)+K$17*SIN(K$19*$E60+K$20)+K$18*COS(K$19*$E60+K$20) + K$21*SIN(K$23*$E60+K$24)+K$22*COS(K$23*$E60+K$24) + K$25*SIN(K$27*$E60+K$28) + K$26*COS(K$27*$E60+K$28)</f>
        <v>0.000658713830424418</v>
      </c>
      <c r="L60" s="0" t="n">
        <f aca="false">L$8+L$9*SIN(L$11*$E60+L$12)+L$10*COS(L$11*$E60+L$12)+L$13*SIN(L$15*$E60+L$16)+L$14*COS(L$15*$E60+L$16)+L$17*SIN(L$19*$E60+L$20)+L$18*COS(L$19*$E60+L$20) + L$21*SIN(L$23*$E60+L$24)+L$22*COS(L$23*$E60+L$24) + L$25*SIN(L$27*$E60+L$28) + L$26*COS(L$27*$E60+L$28)</f>
        <v>0.000917293633116495</v>
      </c>
      <c r="M60" s="0" t="n">
        <f aca="false">M$8+M$9*SIN(M$11*$E60+M$12)+M$10*COS(M$11*$E60+M$12)+M$13*SIN(M$15*$E60+M$16)+M$14*COS(M$15*$E60+M$16)+M$17*SIN(M$19*$E60+M$20)+M$18*COS(M$19*$E60+M$20) + M$21*SIN(M$23*$E60+M$24)+M$22*COS(M$23*$E60+M$24) + M$25*SIN(M$27*$E60+M$28) + M$26*COS(M$27*$E60+M$28)</f>
        <v>0.000812411090000302</v>
      </c>
      <c r="N60" s="0" t="n">
        <f aca="false">N$8+N$9*SIN(N$11*$E60+N$12)+N$10*COS(N$11*$E60+N$12)+N$13*SIN(N$15*$E60+N$16)+N$14*COS(N$15*$E60+N$16)+N$17*SIN(N$19*$E60+N$20)+N$18*COS(N$19*$E60+N$20) + N$21*SIN(N$23*$E60+N$24)+N$22*COS(N$23*$E60+N$24) + N$25*SIN(N$27*$E60+N$28) + N$26*COS(N$27*$E60+N$28)</f>
        <v>0.00107835710847943</v>
      </c>
      <c r="O60" s="0" t="n">
        <f aca="false">O$8+O$9*SIN(O$11*$E60+O$12)+O$10*COS(O$11*$E60+O$12)+O$13*SIN(O$15*$E60+O$16)+O$14*COS(O$15*$E60+O$16)+O$17*SIN(O$19*$E60+O$20)+O$18*COS(O$19*$E60+O$20) + O$21*SIN(O$23*$E60+O$24)+O$22*COS(O$23*$E60+O$24) + O$25*SIN(O$27*$E60+O$28) + O$26*COS(O$27*$E60+O$28)</f>
        <v>0.000720517437902849</v>
      </c>
      <c r="P60" s="0" t="n">
        <f aca="false">P$8+P$9*SIN(P$11*$E60+P$12)+P$10*COS(P$11*$E60+P$12)+P$13*SIN(P$15*$E60+P$16)+P$14*COS(P$15*$E60+P$16)+P$17*SIN(P$19*$E60+P$20)+P$18*COS(P$19*$E60+P$20) + P$21*SIN(P$23*$E60+P$24)+P$22*COS(P$23*$E60+P$24) + P$25*SIN(P$27*$E60+P$28) + P$26*COS(P$27*$E60+P$28)</f>
        <v>0.000523031327168332</v>
      </c>
      <c r="Q60" s="0" t="n">
        <f aca="false">Q$8+Q$9*SIN(Q$11*$E60+Q$12)+Q$10*COS(Q$11*$E60+Q$12)+Q$13*SIN(Q$15*$E60+Q$16)+Q$14*COS(Q$15*$E60+Q$16)+Q$17*SIN(Q$19*$E60+Q$20)+Q$18*COS(Q$19*$E60+Q$20) + Q$21*SIN(Q$23*$E60+Q$24)+Q$22*COS(Q$23*$E60+Q$24) + Q$25*SIN(Q$27*$E60+Q$28) + Q$26*COS(Q$27*$E60+Q$28)</f>
        <v>0.00080845553310131</v>
      </c>
      <c r="R60" s="0" t="n">
        <f aca="false">R$8+R$9*SIN(R$11*$E60+R$12)+R$10*COS(R$11*$E60+R$12)+R$13*SIN(R$15*$E60+R$16)+R$14*COS(R$15*$E60+R$16)+R$17*SIN(R$19*$E60+R$20)+R$18*COS(R$19*$E60+R$20) + R$21*SIN(R$23*$E60+R$24)+R$22*COS(R$23*$E60+R$24) + R$25*SIN(R$27*$E60+R$28) + R$26*COS(R$27*$E60+R$28)</f>
        <v>0.000819389611519592</v>
      </c>
      <c r="S60" s="0" t="n">
        <f aca="false">S$8+S$9*SIN(S$11*$E60+S$12)+S$10*COS(S$11*$E60+S$12)+S$13*SIN(S$15*$E60+S$16)+S$14*COS(S$15*$E60+S$16)+S$17*SIN(S$19*$E60+S$20)+S$18*COS(S$19*$E60+S$20) + S$21*SIN(S$23*$E60+S$24)+S$22*COS(S$23*$E60+S$24) + S$25*SIN(S$27*$E60+S$28) + S$26*COS(S$27*$E60+S$28)</f>
        <v>0.000787018406173823</v>
      </c>
      <c r="T60" s="0" t="n">
        <f aca="false">T$8+T$9*SIN(T$11*$E60+T$12)+T$10*COS(T$11*$E60+T$12)+T$13*SIN(T$15*$E60+T$16)+T$14*COS(T$15*$E60+T$16)+T$17*SIN(T$19*$E60+T$20)+T$18*COS(T$19*$E60+T$20) + T$21*SIN(T$23*$E60+T$24)+T$22*COS(T$23*$E60+T$24) + T$25*SIN(T$27*$E60+T$28) + T$26*COS(T$27*$E60+T$28)</f>
        <v>0.000956893858797286</v>
      </c>
      <c r="U60" s="0" t="n">
        <f aca="false">U$8+U$9*SIN(U$11*$E60+U$12)+U$10*COS(U$11*$E60+U$12)+U$13*SIN(U$15*$E60+U$16)+U$14*COS(U$15*$E60+U$16)+U$17*SIN(U$19*$E60+U$20)+U$18*COS(U$19*$E60+U$20) + U$21*SIN(U$23*$E60+U$24)+U$22*COS(U$23*$E60+U$24) + U$25*SIN(U$27*$E60+U$28) + U$26*COS(U$27*$E60+U$28)</f>
        <v>0.000740925894909068</v>
      </c>
      <c r="V60" s="0" t="n">
        <f aca="false">V$8+V$9*SIN(V$11*$E60+V$12)+V$10*COS(V$11*$E60+V$12)+V$13*SIN(V$15*$E60+V$16)+V$14*COS(V$15*$E60+V$16)+V$17*SIN(V$19*$E60+V$20)+V$18*COS(V$19*$E60+V$20) + V$21*SIN(V$23*$E60+V$24)+V$22*COS(V$23*$E60+V$24) + V$25*SIN(V$27*$E60+V$28) + V$26*COS(V$27*$E60+V$28)</f>
        <v>0.00114481075110897</v>
      </c>
      <c r="W60" s="0" t="n">
        <f aca="false">W$8+W$9*SIN(W$11*$E60+W$12)+W$10*COS(W$11*$E60+W$12)+W$13*SIN(W$15*$E60+W$16)+W$14*COS(W$15*$E60+W$16)+W$17*SIN(W$19*$E60+W$20)+W$18*COS(W$19*$E60+W$20) + W$21*SIN(W$23*$E60+W$24)+W$22*COS(W$23*$E60+W$24) + W$25*SIN(W$27*$E60+W$28) + W$26*COS(W$27*$E60+W$28)</f>
        <v>0.000863144993163218</v>
      </c>
      <c r="X60" s="0" t="n">
        <f aca="false">X$8+X$9*SIN(X$11*$E60+X$12)+X$10*COS(X$11*$E60+X$12)+X$13*SIN(X$15*$E60+X$16)+X$14*COS(X$15*$E60+X$16)+X$17*SIN(X$19*$E60+X$20)+X$18*COS(X$19*$E60+X$20) + X$21*SIN(X$23*$E60+X$24)+X$22*COS(X$23*$E60+X$24) + X$25*SIN(X$27*$E60+X$28) + X$26*COS(X$27*$E60+X$28)</f>
        <v>0.00097627943139601</v>
      </c>
      <c r="Y60" s="0" t="n">
        <f aca="false">Y$8+Y$9*SIN(Y$11*$E60+Y$12)+Y$10*COS(Y$11*$E60+Y$12)+Y$13*SIN(Y$15*$E60+Y$16)+Y$14*COS(Y$15*$E60+Y$16)+Y$17*SIN(Y$19*$E60+Y$20)+Y$18*COS(Y$19*$E60+Y$20) + Y$21*SIN(Y$23*$E60+Y$24)+Y$22*COS(Y$23*$E60+Y$24) + Y$25*SIN(Y$27*$E60+Y$28) + Y$26*COS(Y$27*$E60+Y$28)</f>
        <v>0.000828875657503455</v>
      </c>
      <c r="Z60" s="0" t="n">
        <f aca="false">Z$8+Z$9*SIN(Z$11*$E60+Z$12)+Z$10*COS(Z$11*$E60+Z$12)+Z$13*SIN(Z$15*$E60+Z$16)+Z$14*COS(Z$15*$E60+Z$16)+Z$17*SIN(Z$19*$E60+Z$20)+Z$18*COS(Z$19*$E60+Z$20) + Z$21*SIN(Z$23*$E60+Z$24)+Z$22*COS(Z$23*$E60+Z$24) + Z$25*SIN(Z$27*$E60+Z$28) + Z$26*COS(Z$27*$E60+Z$28)</f>
        <v>0.000927030694230064</v>
      </c>
      <c r="AA60" s="0" t="n">
        <f aca="false">AA$8+AA$9*SIN(AA$11*$E60+AA$12)+AA$10*COS(AA$11*$E60+AA$12)+AA$13*SIN(AA$15*$E60+AA$16)+AA$14*COS(AA$15*$E60+AA$16)+AA$17*SIN(AA$19*$E60+AA$20)+AA$18*COS(AA$19*$E60+AA$20) + AA$21*SIN(AA$23*$E60+AA$24)+AA$22*COS(AA$23*$E60+AA$24) + AA$25*SIN(AA$27*$E60+AA$28) + AA$26*COS(AA$27*$E60+AA$28)</f>
        <v>0.000717054609372345</v>
      </c>
      <c r="AB60" s="0" t="n">
        <f aca="false">AB$8+AB$9*SIN(AB$11*$E60+AB$12)+AB$10*COS(AB$11*$E60+AB$12)+AB$13*SIN(AB$15*$E60+AB$16)+AB$14*COS(AB$15*$E60+AB$16)+AB$17*SIN(AB$19*$E60+AB$20)+AB$18*COS(AB$19*$E60+AB$20) + AB$21*SIN(AB$23*$E60+AB$24)+AB$22*COS(AB$23*$E60+AB$24) + AB$25*SIN(AB$27*$E60+AB$28) + AB$26*COS(AB$27*$E60+AB$28)</f>
        <v>0.00063440791663751</v>
      </c>
      <c r="AC60" s="0" t="n">
        <f aca="false">AC$8+AC$9*SIN(AC$11*$E60+AC$12)+AC$10*COS(AC$11*$E60+AC$12)+AC$13*SIN(AC$15*$E60+AC$16)+AC$14*COS(AC$15*$E60+AC$16)+AC$17*SIN(AC$19*$E60+AC$20)+AC$18*COS(AC$19*$E60+AC$20) + AC$21*SIN(AC$23*$E60+AC$24)+AC$22*COS(AC$23*$E60+AC$24) + AC$25*SIN(AC$27*$E60+AC$28) + AC$26*COS(AC$27*$E60+AC$28)</f>
        <v>0.000686127164022165</v>
      </c>
      <c r="AJ60" s="5" t="n">
        <v>1.387</v>
      </c>
      <c r="AK60" s="5" t="n">
        <v>0.788</v>
      </c>
      <c r="AL60" s="5" t="n">
        <v>0</v>
      </c>
      <c r="AM60" s="5" t="n">
        <v>0</v>
      </c>
      <c r="AN60" s="5" t="n">
        <v>1.56</v>
      </c>
      <c r="AO60" s="5" t="n">
        <v>4.842</v>
      </c>
    </row>
    <row r="61" customFormat="false" ht="15" hidden="false" customHeight="false" outlineLevel="0" collapsed="false">
      <c r="E61" s="0" t="n">
        <v>14</v>
      </c>
      <c r="F61" s="0" t="n">
        <f aca="false">F$8+F$9*SIN(F$11*$E61+F$12)+F$10*COS(F$11*$E61+F$12)+F$13*SIN(F$15*$E61+F$16)+F$14*COS(F$15*$E61+F$16)+F$17*SIN(F$19*$E61+F$20)+F$18*COS(F$19*$E61+F$20) + F$21*SIN(F$23*$E61+F$24)+F$22*COS(F$23*$E61+F$24) + F$25*SIN(F$27*$E61+F$28) + F$26*COS(F$27*$E61+F$28)</f>
        <v>0.000935792448329043</v>
      </c>
      <c r="G61" s="0" t="n">
        <f aca="false">G$8+G$9*SIN(G$11*$E61+G$12)+G$10*COS(G$11*$E61+G$12)+G$13*SIN(G$15*$E61+G$16)+G$14*COS(G$15*$E61+G$16)+G$17*SIN(G$19*$E61+G$20)+G$18*COS(G$19*$E61+G$20) + G$21*SIN(G$23*$E61+G$24)+G$22*COS(G$23*$E61+G$24) + G$25*SIN(G$27*$E61+G$28) + G$26*COS(G$27*$E61+G$28)</f>
        <v>0.000754392019976381</v>
      </c>
      <c r="H61" s="0" t="n">
        <f aca="false">H$8+H$9*SIN(H$11*$E61+H$12)+H$10*COS(H$11*$E61+H$12)+H$13*SIN(H$15*$E61+H$16)+H$14*COS(H$15*$E61+H$16)+H$17*SIN(H$19*$E61+H$20)+H$18*COS(H$19*$E61+H$20) + H$21*SIN(H$23*$E61+H$24)+H$22*COS(H$23*$E61+H$24) + H$25*SIN(H$27*$E61+H$28) + H$26*COS(H$27*$E61+H$28)</f>
        <v>0.000930321208864866</v>
      </c>
      <c r="I61" s="0" t="n">
        <f aca="false">I$8+I$9*SIN(I$11*$E61+I$12)+I$10*COS(I$11*$E61+I$12)+I$13*SIN(I$15*$E61+I$16)+I$14*COS(I$15*$E61+I$16)+I$17*SIN(I$19*$E61+I$20)+I$18*COS(I$19*$E61+I$20) + I$21*SIN(I$23*$E61+I$24)+I$22*COS(I$23*$E61+I$24) + I$25*SIN(I$27*$E61+I$28) + I$26*COS(I$27*$E61+I$28)</f>
        <v>0.000810613346583289</v>
      </c>
      <c r="J61" s="0" t="n">
        <f aca="false">J$8+J$9*SIN(J$11*$E61+J$12)+J$10*COS(J$11*$E61+J$12)+J$13*SIN(J$15*$E61+J$16)+J$14*COS(J$15*$E61+J$16)+J$17*SIN(J$19*$E61+J$20)+J$18*COS(J$19*$E61+J$20) + J$21*SIN(J$23*$E61+J$24)+J$22*COS(J$23*$E61+J$24) + J$25*SIN(J$27*$E61+J$28) + J$26*COS(J$27*$E61+J$28)</f>
        <v>0.000819352023742196</v>
      </c>
      <c r="K61" s="0" t="n">
        <f aca="false">K$8+K$9*SIN(K$11*$E61+K$12)+K$10*COS(K$11*$E61+K$12)+K$13*SIN(K$15*$E61+K$16)+K$14*COS(K$15*$E61+K$16)+K$17*SIN(K$19*$E61+K$20)+K$18*COS(K$19*$E61+K$20) + K$21*SIN(K$23*$E61+K$24)+K$22*COS(K$23*$E61+K$24) + K$25*SIN(K$27*$E61+K$28) + K$26*COS(K$27*$E61+K$28)</f>
        <v>0.000704604923935695</v>
      </c>
      <c r="L61" s="0" t="n">
        <f aca="false">L$8+L$9*SIN(L$11*$E61+L$12)+L$10*COS(L$11*$E61+L$12)+L$13*SIN(L$15*$E61+L$16)+L$14*COS(L$15*$E61+L$16)+L$17*SIN(L$19*$E61+L$20)+L$18*COS(L$19*$E61+L$20) + L$21*SIN(L$23*$E61+L$24)+L$22*COS(L$23*$E61+L$24) + L$25*SIN(L$27*$E61+L$28) + L$26*COS(L$27*$E61+L$28)</f>
        <v>0.000902417017800315</v>
      </c>
      <c r="M61" s="0" t="n">
        <f aca="false">M$8+M$9*SIN(M$11*$E61+M$12)+M$10*COS(M$11*$E61+M$12)+M$13*SIN(M$15*$E61+M$16)+M$14*COS(M$15*$E61+M$16)+M$17*SIN(M$19*$E61+M$20)+M$18*COS(M$19*$E61+M$20) + M$21*SIN(M$23*$E61+M$24)+M$22*COS(M$23*$E61+M$24) + M$25*SIN(M$27*$E61+M$28) + M$26*COS(M$27*$E61+M$28)</f>
        <v>0.000798250536549532</v>
      </c>
      <c r="N61" s="0" t="n">
        <f aca="false">N$8+N$9*SIN(N$11*$E61+N$12)+N$10*COS(N$11*$E61+N$12)+N$13*SIN(N$15*$E61+N$16)+N$14*COS(N$15*$E61+N$16)+N$17*SIN(N$19*$E61+N$20)+N$18*COS(N$19*$E61+N$20) + N$21*SIN(N$23*$E61+N$24)+N$22*COS(N$23*$E61+N$24) + N$25*SIN(N$27*$E61+N$28) + N$26*COS(N$27*$E61+N$28)</f>
        <v>0.0011149228850561</v>
      </c>
      <c r="O61" s="0" t="n">
        <f aca="false">O$8+O$9*SIN(O$11*$E61+O$12)+O$10*COS(O$11*$E61+O$12)+O$13*SIN(O$15*$E61+O$16)+O$14*COS(O$15*$E61+O$16)+O$17*SIN(O$19*$E61+O$20)+O$18*COS(O$19*$E61+O$20) + O$21*SIN(O$23*$E61+O$24)+O$22*COS(O$23*$E61+O$24) + O$25*SIN(O$27*$E61+O$28) + O$26*COS(O$27*$E61+O$28)</f>
        <v>0.000738371982767575</v>
      </c>
      <c r="P61" s="0" t="n">
        <f aca="false">P$8+P$9*SIN(P$11*$E61+P$12)+P$10*COS(P$11*$E61+P$12)+P$13*SIN(P$15*$E61+P$16)+P$14*COS(P$15*$E61+P$16)+P$17*SIN(P$19*$E61+P$20)+P$18*COS(P$19*$E61+P$20) + P$21*SIN(P$23*$E61+P$24)+P$22*COS(P$23*$E61+P$24) + P$25*SIN(P$27*$E61+P$28) + P$26*COS(P$27*$E61+P$28)</f>
        <v>0.000522536663293927</v>
      </c>
      <c r="Q61" s="0" t="n">
        <f aca="false">Q$8+Q$9*SIN(Q$11*$E61+Q$12)+Q$10*COS(Q$11*$E61+Q$12)+Q$13*SIN(Q$15*$E61+Q$16)+Q$14*COS(Q$15*$E61+Q$16)+Q$17*SIN(Q$19*$E61+Q$20)+Q$18*COS(Q$19*$E61+Q$20) + Q$21*SIN(Q$23*$E61+Q$24)+Q$22*COS(Q$23*$E61+Q$24) + Q$25*SIN(Q$27*$E61+Q$28) + Q$26*COS(Q$27*$E61+Q$28)</f>
        <v>0.000820033632799325</v>
      </c>
      <c r="R61" s="0" t="n">
        <f aca="false">R$8+R$9*SIN(R$11*$E61+R$12)+R$10*COS(R$11*$E61+R$12)+R$13*SIN(R$15*$E61+R$16)+R$14*COS(R$15*$E61+R$16)+R$17*SIN(R$19*$E61+R$20)+R$18*COS(R$19*$E61+R$20) + R$21*SIN(R$23*$E61+R$24)+R$22*COS(R$23*$E61+R$24) + R$25*SIN(R$27*$E61+R$28) + R$26*COS(R$27*$E61+R$28)</f>
        <v>0.00081939959135872</v>
      </c>
      <c r="S61" s="0" t="n">
        <f aca="false">S$8+S$9*SIN(S$11*$E61+S$12)+S$10*COS(S$11*$E61+S$12)+S$13*SIN(S$15*$E61+S$16)+S$14*COS(S$15*$E61+S$16)+S$17*SIN(S$19*$E61+S$20)+S$18*COS(S$19*$E61+S$20) + S$21*SIN(S$23*$E61+S$24)+S$22*COS(S$23*$E61+S$24) + S$25*SIN(S$27*$E61+S$28) + S$26*COS(S$27*$E61+S$28)</f>
        <v>0.000816198738479572</v>
      </c>
      <c r="T61" s="0" t="n">
        <f aca="false">T$8+T$9*SIN(T$11*$E61+T$12)+T$10*COS(T$11*$E61+T$12)+T$13*SIN(T$15*$E61+T$16)+T$14*COS(T$15*$E61+T$16)+T$17*SIN(T$19*$E61+T$20)+T$18*COS(T$19*$E61+T$20) + T$21*SIN(T$23*$E61+T$24)+T$22*COS(T$23*$E61+T$24) + T$25*SIN(T$27*$E61+T$28) + T$26*COS(T$27*$E61+T$28)</f>
        <v>0.00100657780276121</v>
      </c>
      <c r="U61" s="0" t="n">
        <f aca="false">U$8+U$9*SIN(U$11*$E61+U$12)+U$10*COS(U$11*$E61+U$12)+U$13*SIN(U$15*$E61+U$16)+U$14*COS(U$15*$E61+U$16)+U$17*SIN(U$19*$E61+U$20)+U$18*COS(U$19*$E61+U$20) + U$21*SIN(U$23*$E61+U$24)+U$22*COS(U$23*$E61+U$24) + U$25*SIN(U$27*$E61+U$28) + U$26*COS(U$27*$E61+U$28)</f>
        <v>0.000800310494166569</v>
      </c>
      <c r="V61" s="0" t="n">
        <f aca="false">V$8+V$9*SIN(V$11*$E61+V$12)+V$10*COS(V$11*$E61+V$12)+V$13*SIN(V$15*$E61+V$16)+V$14*COS(V$15*$E61+V$16)+V$17*SIN(V$19*$E61+V$20)+V$18*COS(V$19*$E61+V$20) + V$21*SIN(V$23*$E61+V$24)+V$22*COS(V$23*$E61+V$24) + V$25*SIN(V$27*$E61+V$28) + V$26*COS(V$27*$E61+V$28)</f>
        <v>0.00118069912078961</v>
      </c>
      <c r="W61" s="0" t="n">
        <f aca="false">W$8+W$9*SIN(W$11*$E61+W$12)+W$10*COS(W$11*$E61+W$12)+W$13*SIN(W$15*$E61+W$16)+W$14*COS(W$15*$E61+W$16)+W$17*SIN(W$19*$E61+W$20)+W$18*COS(W$19*$E61+W$20) + W$21*SIN(W$23*$E61+W$24)+W$22*COS(W$23*$E61+W$24) + W$25*SIN(W$27*$E61+W$28) + W$26*COS(W$27*$E61+W$28)</f>
        <v>0.000873560366876895</v>
      </c>
      <c r="X61" s="0" t="n">
        <f aca="false">X$8+X$9*SIN(X$11*$E61+X$12)+X$10*COS(X$11*$E61+X$12)+X$13*SIN(X$15*$E61+X$16)+X$14*COS(X$15*$E61+X$16)+X$17*SIN(X$19*$E61+X$20)+X$18*COS(X$19*$E61+X$20) + X$21*SIN(X$23*$E61+X$24)+X$22*COS(X$23*$E61+X$24) + X$25*SIN(X$27*$E61+X$28) + X$26*COS(X$27*$E61+X$28)</f>
        <v>0.000999063774379261</v>
      </c>
      <c r="Y61" s="0" t="n">
        <f aca="false">Y$8+Y$9*SIN(Y$11*$E61+Y$12)+Y$10*COS(Y$11*$E61+Y$12)+Y$13*SIN(Y$15*$E61+Y$16)+Y$14*COS(Y$15*$E61+Y$16)+Y$17*SIN(Y$19*$E61+Y$20)+Y$18*COS(Y$19*$E61+Y$20) + Y$21*SIN(Y$23*$E61+Y$24)+Y$22*COS(Y$23*$E61+Y$24) + Y$25*SIN(Y$27*$E61+Y$28) + Y$26*COS(Y$27*$E61+Y$28)</f>
        <v>0.000835681275384065</v>
      </c>
      <c r="Z61" s="0" t="n">
        <f aca="false">Z$8+Z$9*SIN(Z$11*$E61+Z$12)+Z$10*COS(Z$11*$E61+Z$12)+Z$13*SIN(Z$15*$E61+Z$16)+Z$14*COS(Z$15*$E61+Z$16)+Z$17*SIN(Z$19*$E61+Z$20)+Z$18*COS(Z$19*$E61+Z$20) + Z$21*SIN(Z$23*$E61+Z$24)+Z$22*COS(Z$23*$E61+Z$24) + Z$25*SIN(Z$27*$E61+Z$28) + Z$26*COS(Z$27*$E61+Z$28)</f>
        <v>0.000935140269571365</v>
      </c>
      <c r="AA61" s="0" t="n">
        <f aca="false">AA$8+AA$9*SIN(AA$11*$E61+AA$12)+AA$10*COS(AA$11*$E61+AA$12)+AA$13*SIN(AA$15*$E61+AA$16)+AA$14*COS(AA$15*$E61+AA$16)+AA$17*SIN(AA$19*$E61+AA$20)+AA$18*COS(AA$19*$E61+AA$20) + AA$21*SIN(AA$23*$E61+AA$24)+AA$22*COS(AA$23*$E61+AA$24) + AA$25*SIN(AA$27*$E61+AA$28) + AA$26*COS(AA$27*$E61+AA$28)</f>
        <v>0.000717031721796231</v>
      </c>
      <c r="AB61" s="0" t="n">
        <f aca="false">AB$8+AB$9*SIN(AB$11*$E61+AB$12)+AB$10*COS(AB$11*$E61+AB$12)+AB$13*SIN(AB$15*$E61+AB$16)+AB$14*COS(AB$15*$E61+AB$16)+AB$17*SIN(AB$19*$E61+AB$20)+AB$18*COS(AB$19*$E61+AB$20) + AB$21*SIN(AB$23*$E61+AB$24)+AB$22*COS(AB$23*$E61+AB$24) + AB$25*SIN(AB$27*$E61+AB$28) + AB$26*COS(AB$27*$E61+AB$28)</f>
        <v>0.000638514922556765</v>
      </c>
      <c r="AC61" s="0" t="n">
        <f aca="false">AC$8+AC$9*SIN(AC$11*$E61+AC$12)+AC$10*COS(AC$11*$E61+AC$12)+AC$13*SIN(AC$15*$E61+AC$16)+AC$14*COS(AC$15*$E61+AC$16)+AC$17*SIN(AC$19*$E61+AC$20)+AC$18*COS(AC$19*$E61+AC$20) + AC$21*SIN(AC$23*$E61+AC$24)+AC$22*COS(AC$23*$E61+AC$24) + AC$25*SIN(AC$27*$E61+AC$28) + AC$26*COS(AC$27*$E61+AC$28)</f>
        <v>0.00075816033044535</v>
      </c>
      <c r="AJ61" s="5" t="n">
        <v>-0.026</v>
      </c>
      <c r="AK61" s="5" t="n">
        <v>-0.002</v>
      </c>
      <c r="AL61" s="5" t="n">
        <v>-0.097</v>
      </c>
      <c r="AM61" s="5" t="n">
        <v>0</v>
      </c>
      <c r="AN61" s="5" t="n">
        <v>0</v>
      </c>
      <c r="AO61" s="5" t="n">
        <v>-0.157</v>
      </c>
    </row>
    <row r="62" customFormat="false" ht="15" hidden="false" customHeight="false" outlineLevel="0" collapsed="false">
      <c r="E62" s="0" t="n">
        <v>15</v>
      </c>
      <c r="F62" s="0" t="n">
        <f aca="false">F$8+F$9*SIN(F$11*$E62+F$12)+F$10*COS(F$11*$E62+F$12)+F$13*SIN(F$15*$E62+F$16)+F$14*COS(F$15*$E62+F$16)+F$17*SIN(F$19*$E62+F$20)+F$18*COS(F$19*$E62+F$20) + F$21*SIN(F$23*$E62+F$24)+F$22*COS(F$23*$E62+F$24) + F$25*SIN(F$27*$E62+F$28) + F$26*COS(F$27*$E62+F$28)</f>
        <v>0.000931343912885442</v>
      </c>
      <c r="G62" s="0" t="n">
        <f aca="false">G$8+G$9*SIN(G$11*$E62+G$12)+G$10*COS(G$11*$E62+G$12)+G$13*SIN(G$15*$E62+G$16)+G$14*COS(G$15*$E62+G$16)+G$17*SIN(G$19*$E62+G$20)+G$18*COS(G$19*$E62+G$20) + G$21*SIN(G$23*$E62+G$24)+G$22*COS(G$23*$E62+G$24) + G$25*SIN(G$27*$E62+G$28) + G$26*COS(G$27*$E62+G$28)</f>
        <v>0.000780478373986033</v>
      </c>
      <c r="H62" s="0" t="n">
        <f aca="false">H$8+H$9*SIN(H$11*$E62+H$12)+H$10*COS(H$11*$E62+H$12)+H$13*SIN(H$15*$E62+H$16)+H$14*COS(H$15*$E62+H$16)+H$17*SIN(H$19*$E62+H$20)+H$18*COS(H$19*$E62+H$20) + H$21*SIN(H$23*$E62+H$24)+H$22*COS(H$23*$E62+H$24) + H$25*SIN(H$27*$E62+H$28) + H$26*COS(H$27*$E62+H$28)</f>
        <v>0.000950973981028857</v>
      </c>
      <c r="I62" s="0" t="n">
        <f aca="false">I$8+I$9*SIN(I$11*$E62+I$12)+I$10*COS(I$11*$E62+I$12)+I$13*SIN(I$15*$E62+I$16)+I$14*COS(I$15*$E62+I$16)+I$17*SIN(I$19*$E62+I$20)+I$18*COS(I$19*$E62+I$20) + I$21*SIN(I$23*$E62+I$24)+I$22*COS(I$23*$E62+I$24) + I$25*SIN(I$27*$E62+I$28) + I$26*COS(I$27*$E62+I$28)</f>
        <v>0.000810893390470644</v>
      </c>
      <c r="J62" s="0" t="n">
        <f aca="false">J$8+J$9*SIN(J$11*$E62+J$12)+J$10*COS(J$11*$E62+J$12)+J$13*SIN(J$15*$E62+J$16)+J$14*COS(J$15*$E62+J$16)+J$17*SIN(J$19*$E62+J$20)+J$18*COS(J$19*$E62+J$20) + J$21*SIN(J$23*$E62+J$24)+J$22*COS(J$23*$E62+J$24) + J$25*SIN(J$27*$E62+J$28) + J$26*COS(J$27*$E62+J$28)</f>
        <v>0.000819347945824711</v>
      </c>
      <c r="K62" s="0" t="n">
        <f aca="false">K$8+K$9*SIN(K$11*$E62+K$12)+K$10*COS(K$11*$E62+K$12)+K$13*SIN(K$15*$E62+K$16)+K$14*COS(K$15*$E62+K$16)+K$17*SIN(K$19*$E62+K$20)+K$18*COS(K$19*$E62+K$20) + K$21*SIN(K$23*$E62+K$24)+K$22*COS(K$23*$E62+K$24) + K$25*SIN(K$27*$E62+K$28) + K$26*COS(K$27*$E62+K$28)</f>
        <v>0.000773715679724345</v>
      </c>
      <c r="L62" s="0" t="n">
        <f aca="false">L$8+L$9*SIN(L$11*$E62+L$12)+L$10*COS(L$11*$E62+L$12)+L$13*SIN(L$15*$E62+L$16)+L$14*COS(L$15*$E62+L$16)+L$17*SIN(L$19*$E62+L$20)+L$18*COS(L$19*$E62+L$20) + L$21*SIN(L$23*$E62+L$24)+L$22*COS(L$23*$E62+L$24) + L$25*SIN(L$27*$E62+L$28) + L$26*COS(L$27*$E62+L$28)</f>
        <v>0.000877086121464755</v>
      </c>
      <c r="M62" s="0" t="n">
        <f aca="false">M$8+M$9*SIN(M$11*$E62+M$12)+M$10*COS(M$11*$E62+M$12)+M$13*SIN(M$15*$E62+M$16)+M$14*COS(M$15*$E62+M$16)+M$17*SIN(M$19*$E62+M$20)+M$18*COS(M$19*$E62+M$20) + M$21*SIN(M$23*$E62+M$24)+M$22*COS(M$23*$E62+M$24) + M$25*SIN(M$27*$E62+M$28) + M$26*COS(M$27*$E62+M$28)</f>
        <v>0.000765685247844572</v>
      </c>
      <c r="N62" s="0" t="n">
        <f aca="false">N$8+N$9*SIN(N$11*$E62+N$12)+N$10*COS(N$11*$E62+N$12)+N$13*SIN(N$15*$E62+N$16)+N$14*COS(N$15*$E62+N$16)+N$17*SIN(N$19*$E62+N$20)+N$18*COS(N$19*$E62+N$20) + N$21*SIN(N$23*$E62+N$24)+N$22*COS(N$23*$E62+N$24) + N$25*SIN(N$27*$E62+N$28) + N$26*COS(N$27*$E62+N$28)</f>
        <v>0.00104622887080039</v>
      </c>
      <c r="O62" s="0" t="n">
        <f aca="false">O$8+O$9*SIN(O$11*$E62+O$12)+O$10*COS(O$11*$E62+O$12)+O$13*SIN(O$15*$E62+O$16)+O$14*COS(O$15*$E62+O$16)+O$17*SIN(O$19*$E62+O$20)+O$18*COS(O$19*$E62+O$20) + O$21*SIN(O$23*$E62+O$24)+O$22*COS(O$23*$E62+O$24) + O$25*SIN(O$27*$E62+O$28) + O$26*COS(O$27*$E62+O$28)</f>
        <v>0.000747135727053909</v>
      </c>
      <c r="P62" s="0" t="n">
        <f aca="false">P$8+P$9*SIN(P$11*$E62+P$12)+P$10*COS(P$11*$E62+P$12)+P$13*SIN(P$15*$E62+P$16)+P$14*COS(P$15*$E62+P$16)+P$17*SIN(P$19*$E62+P$20)+P$18*COS(P$19*$E62+P$20) + P$21*SIN(P$23*$E62+P$24)+P$22*COS(P$23*$E62+P$24) + P$25*SIN(P$27*$E62+P$28) + P$26*COS(P$27*$E62+P$28)</f>
        <v>0.000524651303058255</v>
      </c>
      <c r="Q62" s="0" t="n">
        <f aca="false">Q$8+Q$9*SIN(Q$11*$E62+Q$12)+Q$10*COS(Q$11*$E62+Q$12)+Q$13*SIN(Q$15*$E62+Q$16)+Q$14*COS(Q$15*$E62+Q$16)+Q$17*SIN(Q$19*$E62+Q$20)+Q$18*COS(Q$19*$E62+Q$20) + Q$21*SIN(Q$23*$E62+Q$24)+Q$22*COS(Q$23*$E62+Q$24) + Q$25*SIN(Q$27*$E62+Q$28) + Q$26*COS(Q$27*$E62+Q$28)</f>
        <v>0.000816662408982523</v>
      </c>
      <c r="R62" s="0" t="n">
        <f aca="false">R$8+R$9*SIN(R$11*$E62+R$12)+R$10*COS(R$11*$E62+R$12)+R$13*SIN(R$15*$E62+R$16)+R$14*COS(R$15*$E62+R$16)+R$17*SIN(R$19*$E62+R$20)+R$18*COS(R$19*$E62+R$20) + R$21*SIN(R$23*$E62+R$24)+R$22*COS(R$23*$E62+R$24) + R$25*SIN(R$27*$E62+R$28) + R$26*COS(R$27*$E62+R$28)</f>
        <v>0.000819398942953366</v>
      </c>
      <c r="S62" s="0" t="n">
        <f aca="false">S$8+S$9*SIN(S$11*$E62+S$12)+S$10*COS(S$11*$E62+S$12)+S$13*SIN(S$15*$E62+S$16)+S$14*COS(S$15*$E62+S$16)+S$17*SIN(S$19*$E62+S$20)+S$18*COS(S$19*$E62+S$20) + S$21*SIN(S$23*$E62+S$24)+S$22*COS(S$23*$E62+S$24) + S$25*SIN(S$27*$E62+S$28) + S$26*COS(S$27*$E62+S$28)</f>
        <v>0.000819959017484672</v>
      </c>
      <c r="T62" s="0" t="n">
        <f aca="false">T$8+T$9*SIN(T$11*$E62+T$12)+T$10*COS(T$11*$E62+T$12)+T$13*SIN(T$15*$E62+T$16)+T$14*COS(T$15*$E62+T$16)+T$17*SIN(T$19*$E62+T$20)+T$18*COS(T$19*$E62+T$20) + T$21*SIN(T$23*$E62+T$24)+T$22*COS(T$23*$E62+T$24) + T$25*SIN(T$27*$E62+T$28) + T$26*COS(T$27*$E62+T$28)</f>
        <v>0.00103773542231057</v>
      </c>
      <c r="U62" s="0" t="n">
        <f aca="false">U$8+U$9*SIN(U$11*$E62+U$12)+U$10*COS(U$11*$E62+U$12)+U$13*SIN(U$15*$E62+U$16)+U$14*COS(U$15*$E62+U$16)+U$17*SIN(U$19*$E62+U$20)+U$18*COS(U$19*$E62+U$20) + U$21*SIN(U$23*$E62+U$24)+U$22*COS(U$23*$E62+U$24) + U$25*SIN(U$27*$E62+U$28) + U$26*COS(U$27*$E62+U$28)</f>
        <v>0.000819939070788445</v>
      </c>
      <c r="V62" s="0" t="n">
        <f aca="false">V$8+V$9*SIN(V$11*$E62+V$12)+V$10*COS(V$11*$E62+V$12)+V$13*SIN(V$15*$E62+V$16)+V$14*COS(V$15*$E62+V$16)+V$17*SIN(V$19*$E62+V$20)+V$18*COS(V$19*$E62+V$20) + V$21*SIN(V$23*$E62+V$24)+V$22*COS(V$23*$E62+V$24) + V$25*SIN(V$27*$E62+V$28) + V$26*COS(V$27*$E62+V$28)</f>
        <v>0.00116671227842661</v>
      </c>
      <c r="W62" s="0" t="n">
        <f aca="false">W$8+W$9*SIN(W$11*$E62+W$12)+W$10*COS(W$11*$E62+W$12)+W$13*SIN(W$15*$E62+W$16)+W$14*COS(W$15*$E62+W$16)+W$17*SIN(W$19*$E62+W$20)+W$18*COS(W$19*$E62+W$20) + W$21*SIN(W$23*$E62+W$24)+W$22*COS(W$23*$E62+W$24) + W$25*SIN(W$27*$E62+W$28) + W$26*COS(W$27*$E62+W$28)</f>
        <v>0.000819106315638326</v>
      </c>
      <c r="X62" s="0" t="n">
        <f aca="false">X$8+X$9*SIN(X$11*$E62+X$12)+X$10*COS(X$11*$E62+X$12)+X$13*SIN(X$15*$E62+X$16)+X$14*COS(X$15*$E62+X$16)+X$17*SIN(X$19*$E62+X$20)+X$18*COS(X$19*$E62+X$20) + X$21*SIN(X$23*$E62+X$24)+X$22*COS(X$23*$E62+X$24) + X$25*SIN(X$27*$E62+X$28) + X$26*COS(X$27*$E62+X$28)</f>
        <v>0.00101158394596642</v>
      </c>
      <c r="Y62" s="0" t="n">
        <f aca="false">Y$8+Y$9*SIN(Y$11*$E62+Y$12)+Y$10*COS(Y$11*$E62+Y$12)+Y$13*SIN(Y$15*$E62+Y$16)+Y$14*COS(Y$15*$E62+Y$16)+Y$17*SIN(Y$19*$E62+Y$20)+Y$18*COS(Y$19*$E62+Y$20) + Y$21*SIN(Y$23*$E62+Y$24)+Y$22*COS(Y$23*$E62+Y$24) + Y$25*SIN(Y$27*$E62+Y$28) + Y$26*COS(Y$27*$E62+Y$28)</f>
        <v>0.000814192224410761</v>
      </c>
      <c r="Z62" s="0" t="n">
        <f aca="false">Z$8+Z$9*SIN(Z$11*$E62+Z$12)+Z$10*COS(Z$11*$E62+Z$12)+Z$13*SIN(Z$15*$E62+Z$16)+Z$14*COS(Z$15*$E62+Z$16)+Z$17*SIN(Z$19*$E62+Z$20)+Z$18*COS(Z$19*$E62+Z$20) + Z$21*SIN(Z$23*$E62+Z$24)+Z$22*COS(Z$23*$E62+Z$24) + Z$25*SIN(Z$27*$E62+Z$28) + Z$26*COS(Z$27*$E62+Z$28)</f>
        <v>0.000937652468106107</v>
      </c>
      <c r="AA62" s="0" t="n">
        <f aca="false">AA$8+AA$9*SIN(AA$11*$E62+AA$12)+AA$10*COS(AA$11*$E62+AA$12)+AA$13*SIN(AA$15*$E62+AA$16)+AA$14*COS(AA$15*$E62+AA$16)+AA$17*SIN(AA$19*$E62+AA$20)+AA$18*COS(AA$19*$E62+AA$20) + AA$21*SIN(AA$23*$E62+AA$24)+AA$22*COS(AA$23*$E62+AA$24) + AA$25*SIN(AA$27*$E62+AA$28) + AA$26*COS(AA$27*$E62+AA$28)</f>
        <v>0.000717096949741135</v>
      </c>
      <c r="AB62" s="0" t="n">
        <f aca="false">AB$8+AB$9*SIN(AB$11*$E62+AB$12)+AB$10*COS(AB$11*$E62+AB$12)+AB$13*SIN(AB$15*$E62+AB$16)+AB$14*COS(AB$15*$E62+AB$16)+AB$17*SIN(AB$19*$E62+AB$20)+AB$18*COS(AB$19*$E62+AB$20) + AB$21*SIN(AB$23*$E62+AB$24)+AB$22*COS(AB$23*$E62+AB$24) + AB$25*SIN(AB$27*$E62+AB$28) + AB$26*COS(AB$27*$E62+AB$28)</f>
        <v>0.000643476372263051</v>
      </c>
      <c r="AC62" s="0" t="n">
        <f aca="false">AC$8+AC$9*SIN(AC$11*$E62+AC$12)+AC$10*COS(AC$11*$E62+AC$12)+AC$13*SIN(AC$15*$E62+AC$16)+AC$14*COS(AC$15*$E62+AC$16)+AC$17*SIN(AC$19*$E62+AC$20)+AC$18*COS(AC$19*$E62+AC$20) + AC$21*SIN(AC$23*$E62+AC$24)+AC$22*COS(AC$23*$E62+AC$24) + AC$25*SIN(AC$27*$E62+AC$28) + AC$26*COS(AC$27*$E62+AC$28)</f>
        <v>0.000791465456005256</v>
      </c>
      <c r="AJ62" s="5" t="n">
        <v>-0.083</v>
      </c>
      <c r="AK62" s="5" t="n">
        <v>-0.052</v>
      </c>
      <c r="AL62" s="5" t="n">
        <v>0</v>
      </c>
      <c r="AM62" s="5" t="n">
        <v>-0.061</v>
      </c>
      <c r="AN62" s="5" t="n">
        <v>-0.035</v>
      </c>
      <c r="AO62" s="5" t="n">
        <v>0</v>
      </c>
    </row>
    <row r="63" customFormat="false" ht="15" hidden="false" customHeight="false" outlineLevel="0" collapsed="false">
      <c r="E63" s="0" t="n">
        <v>16</v>
      </c>
      <c r="F63" s="0" t="n">
        <f aca="false">F$8+F$9*SIN(F$11*$E63+F$12)+F$10*COS(F$11*$E63+F$12)+F$13*SIN(F$15*$E63+F$16)+F$14*COS(F$15*$E63+F$16)+F$17*SIN(F$19*$E63+F$20)+F$18*COS(F$19*$E63+F$20) + F$21*SIN(F$23*$E63+F$24)+F$22*COS(F$23*$E63+F$24) + F$25*SIN(F$27*$E63+F$28) + F$26*COS(F$27*$E63+F$28)</f>
        <v>0.000955814476470829</v>
      </c>
      <c r="G63" s="0" t="n">
        <f aca="false">G$8+G$9*SIN(G$11*$E63+G$12)+G$10*COS(G$11*$E63+G$12)+G$13*SIN(G$15*$E63+G$16)+G$14*COS(G$15*$E63+G$16)+G$17*SIN(G$19*$E63+G$20)+G$18*COS(G$19*$E63+G$20) + G$21*SIN(G$23*$E63+G$24)+G$22*COS(G$23*$E63+G$24) + G$25*SIN(G$27*$E63+G$28) + G$26*COS(G$27*$E63+G$28)</f>
        <v>0.000821926410523459</v>
      </c>
      <c r="H63" s="0" t="n">
        <f aca="false">H$8+H$9*SIN(H$11*$E63+H$12)+H$10*COS(H$11*$E63+H$12)+H$13*SIN(H$15*$E63+H$16)+H$14*COS(H$15*$E63+H$16)+H$17*SIN(H$19*$E63+H$20)+H$18*COS(H$19*$E63+H$20) + H$21*SIN(H$23*$E63+H$24)+H$22*COS(H$23*$E63+H$24) + H$25*SIN(H$27*$E63+H$28) + H$26*COS(H$27*$E63+H$28)</f>
        <v>0.000975251766121192</v>
      </c>
      <c r="I63" s="0" t="n">
        <f aca="false">I$8+I$9*SIN(I$11*$E63+I$12)+I$10*COS(I$11*$E63+I$12)+I$13*SIN(I$15*$E63+I$16)+I$14*COS(I$15*$E63+I$16)+I$17*SIN(I$19*$E63+I$20)+I$18*COS(I$19*$E63+I$20) + I$21*SIN(I$23*$E63+I$24)+I$22*COS(I$23*$E63+I$24) + I$25*SIN(I$27*$E63+I$28) + I$26*COS(I$27*$E63+I$28)</f>
        <v>0.000805131587507316</v>
      </c>
      <c r="J63" s="0" t="n">
        <f aca="false">J$8+J$9*SIN(J$11*$E63+J$12)+J$10*COS(J$11*$E63+J$12)+J$13*SIN(J$15*$E63+J$16)+J$14*COS(J$15*$E63+J$16)+J$17*SIN(J$19*$E63+J$20)+J$18*COS(J$19*$E63+J$20) + J$21*SIN(J$23*$E63+J$24)+J$22*COS(J$23*$E63+J$24) + J$25*SIN(J$27*$E63+J$28) + J$26*COS(J$27*$E63+J$28)</f>
        <v>0.000819344805617958</v>
      </c>
      <c r="K63" s="0" t="n">
        <f aca="false">K$8+K$9*SIN(K$11*$E63+K$12)+K$10*COS(K$11*$E63+K$12)+K$13*SIN(K$15*$E63+K$16)+K$14*COS(K$15*$E63+K$16)+K$17*SIN(K$19*$E63+K$20)+K$18*COS(K$19*$E63+K$20) + K$21*SIN(K$23*$E63+K$24)+K$22*COS(K$23*$E63+K$24) + K$25*SIN(K$27*$E63+K$28) + K$26*COS(K$27*$E63+K$28)</f>
        <v>0.000773439298899964</v>
      </c>
      <c r="L63" s="0" t="n">
        <f aca="false">L$8+L$9*SIN(L$11*$E63+L$12)+L$10*COS(L$11*$E63+L$12)+L$13*SIN(L$15*$E63+L$16)+L$14*COS(L$15*$E63+L$16)+L$17*SIN(L$19*$E63+L$20)+L$18*COS(L$19*$E63+L$20) + L$21*SIN(L$23*$E63+L$24)+L$22*COS(L$23*$E63+L$24) + L$25*SIN(L$27*$E63+L$28) + L$26*COS(L$27*$E63+L$28)</f>
        <v>0.000863335120150865</v>
      </c>
      <c r="M63" s="0" t="n">
        <f aca="false">M$8+M$9*SIN(M$11*$E63+M$12)+M$10*COS(M$11*$E63+M$12)+M$13*SIN(M$15*$E63+M$16)+M$14*COS(M$15*$E63+M$16)+M$17*SIN(M$19*$E63+M$20)+M$18*COS(M$19*$E63+M$20) + M$21*SIN(M$23*$E63+M$24)+M$22*COS(M$23*$E63+M$24) + M$25*SIN(M$27*$E63+M$28) + M$26*COS(M$27*$E63+M$28)</f>
        <v>0.000732177964894377</v>
      </c>
      <c r="N63" s="0" t="n">
        <f aca="false">N$8+N$9*SIN(N$11*$E63+N$12)+N$10*COS(N$11*$E63+N$12)+N$13*SIN(N$15*$E63+N$16)+N$14*COS(N$15*$E63+N$16)+N$17*SIN(N$19*$E63+N$20)+N$18*COS(N$19*$E63+N$20) + N$21*SIN(N$23*$E63+N$24)+N$22*COS(N$23*$E63+N$24) + N$25*SIN(N$27*$E63+N$28) + N$26*COS(N$27*$E63+N$28)</f>
        <v>0.000957131266659649</v>
      </c>
      <c r="O63" s="0" t="n">
        <f aca="false">O$8+O$9*SIN(O$11*$E63+O$12)+O$10*COS(O$11*$E63+O$12)+O$13*SIN(O$15*$E63+O$16)+O$14*COS(O$15*$E63+O$16)+O$17*SIN(O$19*$E63+O$20)+O$18*COS(O$19*$E63+O$20) + O$21*SIN(O$23*$E63+O$24)+O$22*COS(O$23*$E63+O$24) + O$25*SIN(O$27*$E63+O$28) + O$26*COS(O$27*$E63+O$28)</f>
        <v>0.000741111069255575</v>
      </c>
      <c r="P63" s="0" t="n">
        <f aca="false">P$8+P$9*SIN(P$11*$E63+P$12)+P$10*COS(P$11*$E63+P$12)+P$13*SIN(P$15*$E63+P$16)+P$14*COS(P$15*$E63+P$16)+P$17*SIN(P$19*$E63+P$20)+P$18*COS(P$19*$E63+P$20) + P$21*SIN(P$23*$E63+P$24)+P$22*COS(P$23*$E63+P$24) + P$25*SIN(P$27*$E63+P$28) + P$26*COS(P$27*$E63+P$28)</f>
        <v>0.000529693824990564</v>
      </c>
      <c r="Q63" s="0" t="n">
        <f aca="false">Q$8+Q$9*SIN(Q$11*$E63+Q$12)+Q$10*COS(Q$11*$E63+Q$12)+Q$13*SIN(Q$15*$E63+Q$16)+Q$14*COS(Q$15*$E63+Q$16)+Q$17*SIN(Q$19*$E63+Q$20)+Q$18*COS(Q$19*$E63+Q$20) + Q$21*SIN(Q$23*$E63+Q$24)+Q$22*COS(Q$23*$E63+Q$24) + Q$25*SIN(Q$27*$E63+Q$28) + Q$26*COS(Q$27*$E63+Q$28)</f>
        <v>0.000814453582208333</v>
      </c>
      <c r="R63" s="0" t="n">
        <f aca="false">R$8+R$9*SIN(R$11*$E63+R$12)+R$10*COS(R$11*$E63+R$12)+R$13*SIN(R$15*$E63+R$16)+R$14*COS(R$15*$E63+R$16)+R$17*SIN(R$19*$E63+R$20)+R$18*COS(R$19*$E63+R$20) + R$21*SIN(R$23*$E63+R$24)+R$22*COS(R$23*$E63+R$24) + R$25*SIN(R$27*$E63+R$28) + R$26*COS(R$27*$E63+R$28)</f>
        <v>0.000819390862196118</v>
      </c>
      <c r="S63" s="0" t="n">
        <f aca="false">S$8+S$9*SIN(S$11*$E63+S$12)+S$10*COS(S$11*$E63+S$12)+S$13*SIN(S$15*$E63+S$16)+S$14*COS(S$15*$E63+S$16)+S$17*SIN(S$19*$E63+S$20)+S$18*COS(S$19*$E63+S$20) + S$21*SIN(S$23*$E63+S$24)+S$22*COS(S$23*$E63+S$24) + S$25*SIN(S$27*$E63+S$28) + S$26*COS(S$27*$E63+S$28)</f>
        <v>0.00080751506205957</v>
      </c>
      <c r="T63" s="0" t="n">
        <f aca="false">T$8+T$9*SIN(T$11*$E63+T$12)+T$10*COS(T$11*$E63+T$12)+T$13*SIN(T$15*$E63+T$16)+T$14*COS(T$15*$E63+T$16)+T$17*SIN(T$19*$E63+T$20)+T$18*COS(T$19*$E63+T$20) + T$21*SIN(T$23*$E63+T$24)+T$22*COS(T$23*$E63+T$24) + T$25*SIN(T$27*$E63+T$28) + T$26*COS(T$27*$E63+T$28)</f>
        <v>0.00104312119525194</v>
      </c>
      <c r="U63" s="0" t="n">
        <f aca="false">U$8+U$9*SIN(U$11*$E63+U$12)+U$10*COS(U$11*$E63+U$12)+U$13*SIN(U$15*$E63+U$16)+U$14*COS(U$15*$E63+U$16)+U$17*SIN(U$19*$E63+U$20)+U$18*COS(U$19*$E63+U$20) + U$21*SIN(U$23*$E63+U$24)+U$22*COS(U$23*$E63+U$24) + U$25*SIN(U$27*$E63+U$28) + U$26*COS(U$27*$E63+U$28)</f>
        <v>0.000812256216670958</v>
      </c>
      <c r="V63" s="0" t="n">
        <f aca="false">V$8+V$9*SIN(V$11*$E63+V$12)+V$10*COS(V$11*$E63+V$12)+V$13*SIN(V$15*$E63+V$16)+V$14*COS(V$15*$E63+V$16)+V$17*SIN(V$19*$E63+V$20)+V$18*COS(V$19*$E63+V$20) + V$21*SIN(V$23*$E63+V$24)+V$22*COS(V$23*$E63+V$24) + V$25*SIN(V$27*$E63+V$28) + V$26*COS(V$27*$E63+V$28)</f>
        <v>0.00110885366853947</v>
      </c>
      <c r="W63" s="0" t="n">
        <f aca="false">W$8+W$9*SIN(W$11*$E63+W$12)+W$10*COS(W$11*$E63+W$12)+W$13*SIN(W$15*$E63+W$16)+W$14*COS(W$15*$E63+W$16)+W$17*SIN(W$19*$E63+W$20)+W$18*COS(W$19*$E63+W$20) + W$21*SIN(W$23*$E63+W$24)+W$22*COS(W$23*$E63+W$24) + W$25*SIN(W$27*$E63+W$28) + W$26*COS(W$27*$E63+W$28)</f>
        <v>0.000872723621194378</v>
      </c>
      <c r="X63" s="0" t="n">
        <f aca="false">X$8+X$9*SIN(X$11*$E63+X$12)+X$10*COS(X$11*$E63+X$12)+X$13*SIN(X$15*$E63+X$16)+X$14*COS(X$15*$E63+X$16)+X$17*SIN(X$19*$E63+X$20)+X$18*COS(X$19*$E63+X$20) + X$21*SIN(X$23*$E63+X$24)+X$22*COS(X$23*$E63+X$24) + X$25*SIN(X$27*$E63+X$28) + X$26*COS(X$27*$E63+X$28)</f>
        <v>0.00100124308256936</v>
      </c>
      <c r="Y63" s="0" t="n">
        <f aca="false">Y$8+Y$9*SIN(Y$11*$E63+Y$12)+Y$10*COS(Y$11*$E63+Y$12)+Y$13*SIN(Y$15*$E63+Y$16)+Y$14*COS(Y$15*$E63+Y$16)+Y$17*SIN(Y$19*$E63+Y$20)+Y$18*COS(Y$19*$E63+Y$20) + Y$21*SIN(Y$23*$E63+Y$24)+Y$22*COS(Y$23*$E63+Y$24) + Y$25*SIN(Y$27*$E63+Y$28) + Y$26*COS(Y$27*$E63+Y$28)</f>
        <v>0.000809410689821077</v>
      </c>
      <c r="Z63" s="0" t="n">
        <f aca="false">Z$8+Z$9*SIN(Z$11*$E63+Z$12)+Z$10*COS(Z$11*$E63+Z$12)+Z$13*SIN(Z$15*$E63+Z$16)+Z$14*COS(Z$15*$E63+Z$16)+Z$17*SIN(Z$19*$E63+Z$20)+Z$18*COS(Z$19*$E63+Z$20) + Z$21*SIN(Z$23*$E63+Z$24)+Z$22*COS(Z$23*$E63+Z$24) + Z$25*SIN(Z$27*$E63+Z$28) + Z$26*COS(Z$27*$E63+Z$28)</f>
        <v>0.000942252061336854</v>
      </c>
      <c r="AA63" s="0" t="n">
        <f aca="false">AA$8+AA$9*SIN(AA$11*$E63+AA$12)+AA$10*COS(AA$11*$E63+AA$12)+AA$13*SIN(AA$15*$E63+AA$16)+AA$14*COS(AA$15*$E63+AA$16)+AA$17*SIN(AA$19*$E63+AA$20)+AA$18*COS(AA$19*$E63+AA$20) + AA$21*SIN(AA$23*$E63+AA$24)+AA$22*COS(AA$23*$E63+AA$24) + AA$25*SIN(AA$27*$E63+AA$28) + AA$26*COS(AA$27*$E63+AA$28)</f>
        <v>0.000717077216925764</v>
      </c>
      <c r="AB63" s="0" t="n">
        <f aca="false">AB$8+AB$9*SIN(AB$11*$E63+AB$12)+AB$10*COS(AB$11*$E63+AB$12)+AB$13*SIN(AB$15*$E63+AB$16)+AB$14*COS(AB$15*$E63+AB$16)+AB$17*SIN(AB$19*$E63+AB$20)+AB$18*COS(AB$19*$E63+AB$20) + AB$21*SIN(AB$23*$E63+AB$24)+AB$22*COS(AB$23*$E63+AB$24) + AB$25*SIN(AB$27*$E63+AB$28) + AB$26*COS(AB$27*$E63+AB$28)</f>
        <v>0.000649187567567844</v>
      </c>
      <c r="AC63" s="0" t="n">
        <f aca="false">AC$8+AC$9*SIN(AC$11*$E63+AC$12)+AC$10*COS(AC$11*$E63+AC$12)+AC$13*SIN(AC$15*$E63+AC$16)+AC$14*COS(AC$15*$E63+AC$16)+AC$17*SIN(AC$19*$E63+AC$20)+AC$18*COS(AC$19*$E63+AC$20) + AC$21*SIN(AC$23*$E63+AC$24)+AC$22*COS(AC$23*$E63+AC$24) + AC$25*SIN(AC$27*$E63+AC$28) + AC$26*COS(AC$27*$E63+AC$28)</f>
        <v>0.000779034665282116</v>
      </c>
      <c r="AJ63" s="5" t="n">
        <v>8.868</v>
      </c>
      <c r="AK63" s="5" t="n">
        <v>6.885</v>
      </c>
      <c r="AL63" s="5" t="n">
        <v>2.04</v>
      </c>
      <c r="AM63" s="5" t="n">
        <v>3.305</v>
      </c>
      <c r="AN63" s="5" t="n">
        <v>4.614</v>
      </c>
      <c r="AO63" s="5" t="n">
        <v>2.105</v>
      </c>
    </row>
    <row r="64" customFormat="false" ht="15" hidden="false" customHeight="false" outlineLevel="0" collapsed="false">
      <c r="E64" s="0" t="n">
        <v>17</v>
      </c>
      <c r="F64" s="0" t="n">
        <f aca="false">F$8+F$9*SIN(F$11*$E64+F$12)+F$10*COS(F$11*$E64+F$12)+F$13*SIN(F$15*$E64+F$16)+F$14*COS(F$15*$E64+F$16)+F$17*SIN(F$19*$E64+F$20)+F$18*COS(F$19*$E64+F$20) + F$21*SIN(F$23*$E64+F$24)+F$22*COS(F$23*$E64+F$24) + F$25*SIN(F$27*$E64+F$28) + F$26*COS(F$27*$E64+F$28)</f>
        <v>0.0010222171449588</v>
      </c>
      <c r="G64" s="0" t="n">
        <f aca="false">G$8+G$9*SIN(G$11*$E64+G$12)+G$10*COS(G$11*$E64+G$12)+G$13*SIN(G$15*$E64+G$16)+G$14*COS(G$15*$E64+G$16)+G$17*SIN(G$19*$E64+G$20)+G$18*COS(G$19*$E64+G$20) + G$21*SIN(G$23*$E64+G$24)+G$22*COS(G$23*$E64+G$24) + G$25*SIN(G$27*$E64+G$28) + G$26*COS(G$27*$E64+G$28)</f>
        <v>0.000860959205942782</v>
      </c>
      <c r="H64" s="0" t="n">
        <f aca="false">H$8+H$9*SIN(H$11*$E64+H$12)+H$10*COS(H$11*$E64+H$12)+H$13*SIN(H$15*$E64+H$16)+H$14*COS(H$15*$E64+H$16)+H$17*SIN(H$19*$E64+H$20)+H$18*COS(H$19*$E64+H$20) + H$21*SIN(H$23*$E64+H$24)+H$22*COS(H$23*$E64+H$24) + H$25*SIN(H$27*$E64+H$28) + H$26*COS(H$27*$E64+H$28)</f>
        <v>0.00102103472075981</v>
      </c>
      <c r="I64" s="0" t="n">
        <f aca="false">I$8+I$9*SIN(I$11*$E64+I$12)+I$10*COS(I$11*$E64+I$12)+I$13*SIN(I$15*$E64+I$16)+I$14*COS(I$15*$E64+I$16)+I$17*SIN(I$19*$E64+I$20)+I$18*COS(I$19*$E64+I$20) + I$21*SIN(I$23*$E64+I$24)+I$22*COS(I$23*$E64+I$24) + I$25*SIN(I$27*$E64+I$28) + I$26*COS(I$27*$E64+I$28)</f>
        <v>0.000819912345743455</v>
      </c>
      <c r="J64" s="0" t="n">
        <f aca="false">J$8+J$9*SIN(J$11*$E64+J$12)+J$10*COS(J$11*$E64+J$12)+J$13*SIN(J$15*$E64+J$16)+J$14*COS(J$15*$E64+J$16)+J$17*SIN(J$19*$E64+J$20)+J$18*COS(J$19*$E64+J$20) + J$21*SIN(J$23*$E64+J$24)+J$22*COS(J$23*$E64+J$24) + J$25*SIN(J$27*$E64+J$28) + J$26*COS(J$27*$E64+J$28)</f>
        <v>0.000819345470404176</v>
      </c>
      <c r="K64" s="0" t="n">
        <f aca="false">K$8+K$9*SIN(K$11*$E64+K$12)+K$10*COS(K$11*$E64+K$12)+K$13*SIN(K$15*$E64+K$16)+K$14*COS(K$15*$E64+K$16)+K$17*SIN(K$19*$E64+K$20)+K$18*COS(K$19*$E64+K$20) + K$21*SIN(K$23*$E64+K$24)+K$22*COS(K$23*$E64+K$24) + K$25*SIN(K$27*$E64+K$28) + K$26*COS(K$27*$E64+K$28)</f>
        <v>0.000803725720452468</v>
      </c>
      <c r="L64" s="0" t="n">
        <f aca="false">L$8+L$9*SIN(L$11*$E64+L$12)+L$10*COS(L$11*$E64+L$12)+L$13*SIN(L$15*$E64+L$16)+L$14*COS(L$15*$E64+L$16)+L$17*SIN(L$19*$E64+L$20)+L$18*COS(L$19*$E64+L$20) + L$21*SIN(L$23*$E64+L$24)+L$22*COS(L$23*$E64+L$24) + L$25*SIN(L$27*$E64+L$28) + L$26*COS(L$27*$E64+L$28)</f>
        <v>0.000868171347585995</v>
      </c>
      <c r="M64" s="0" t="n">
        <f aca="false">M$8+M$9*SIN(M$11*$E64+M$12)+M$10*COS(M$11*$E64+M$12)+M$13*SIN(M$15*$E64+M$16)+M$14*COS(M$15*$E64+M$16)+M$17*SIN(M$19*$E64+M$20)+M$18*COS(M$19*$E64+M$20) + M$21*SIN(M$23*$E64+M$24)+M$22*COS(M$23*$E64+M$24) + M$25*SIN(M$27*$E64+M$28) + M$26*COS(M$27*$E64+M$28)</f>
        <v>0.000710067201909952</v>
      </c>
      <c r="N64" s="0" t="n">
        <f aca="false">N$8+N$9*SIN(N$11*$E64+N$12)+N$10*COS(N$11*$E64+N$12)+N$13*SIN(N$15*$E64+N$16)+N$14*COS(N$15*$E64+N$16)+N$17*SIN(N$19*$E64+N$20)+N$18*COS(N$19*$E64+N$20) + N$21*SIN(N$23*$E64+N$24)+N$22*COS(N$23*$E64+N$24) + N$25*SIN(N$27*$E64+N$28) + N$26*COS(N$27*$E64+N$28)</f>
        <v>0.000949659161714704</v>
      </c>
      <c r="O64" s="0" t="n">
        <f aca="false">O$8+O$9*SIN(O$11*$E64+O$12)+O$10*COS(O$11*$E64+O$12)+O$13*SIN(O$15*$E64+O$16)+O$14*COS(O$15*$E64+O$16)+O$17*SIN(O$19*$E64+O$20)+O$18*COS(O$19*$E64+O$20) + O$21*SIN(O$23*$E64+O$24)+O$22*COS(O$23*$E64+O$24) + O$25*SIN(O$27*$E64+O$28) + O$26*COS(O$27*$E64+O$28)</f>
        <v>0.000763873531747223</v>
      </c>
      <c r="P64" s="0" t="n">
        <f aca="false">P$8+P$9*SIN(P$11*$E64+P$12)+P$10*COS(P$11*$E64+P$12)+P$13*SIN(P$15*$E64+P$16)+P$14*COS(P$15*$E64+P$16)+P$17*SIN(P$19*$E64+P$20)+P$18*COS(P$19*$E64+P$20) + P$21*SIN(P$23*$E64+P$24)+P$22*COS(P$23*$E64+P$24) + P$25*SIN(P$27*$E64+P$28) + P$26*COS(P$27*$E64+P$28)</f>
        <v>0.000537893653480531</v>
      </c>
      <c r="Q64" s="0" t="n">
        <f aca="false">Q$8+Q$9*SIN(Q$11*$E64+Q$12)+Q$10*COS(Q$11*$E64+Q$12)+Q$13*SIN(Q$15*$E64+Q$16)+Q$14*COS(Q$15*$E64+Q$16)+Q$17*SIN(Q$19*$E64+Q$20)+Q$18*COS(Q$19*$E64+Q$20) + Q$21*SIN(Q$23*$E64+Q$24)+Q$22*COS(Q$23*$E64+Q$24) + Q$25*SIN(Q$27*$E64+Q$28) + Q$26*COS(Q$27*$E64+Q$28)</f>
        <v>0.000827137922646299</v>
      </c>
      <c r="R64" s="0" t="n">
        <f aca="false">R$8+R$9*SIN(R$11*$E64+R$12)+R$10*COS(R$11*$E64+R$12)+R$13*SIN(R$15*$E64+R$16)+R$14*COS(R$15*$E64+R$16)+R$17*SIN(R$19*$E64+R$20)+R$18*COS(R$19*$E64+R$20) + R$21*SIN(R$23*$E64+R$24)+R$22*COS(R$23*$E64+R$24) + R$25*SIN(R$27*$E64+R$28) + R$26*COS(R$27*$E64+R$28)</f>
        <v>0.000819382147630619</v>
      </c>
      <c r="S64" s="0" t="n">
        <f aca="false">S$8+S$9*SIN(S$11*$E64+S$12)+S$10*COS(S$11*$E64+S$12)+S$13*SIN(S$15*$E64+S$16)+S$14*COS(S$15*$E64+S$16)+S$17*SIN(S$19*$E64+S$20)+S$18*COS(S$19*$E64+S$20) + S$21*SIN(S$23*$E64+S$24)+S$22*COS(S$23*$E64+S$24) + S$25*SIN(S$27*$E64+S$28) + S$26*COS(S$27*$E64+S$28)</f>
        <v>0.000799554946194433</v>
      </c>
      <c r="T64" s="0" t="n">
        <f aca="false">T$8+T$9*SIN(T$11*$E64+T$12)+T$10*COS(T$11*$E64+T$12)+T$13*SIN(T$15*$E64+T$16)+T$14*COS(T$15*$E64+T$16)+T$17*SIN(T$19*$E64+T$20)+T$18*COS(T$19*$E64+T$20) + T$21*SIN(T$23*$E64+T$24)+T$22*COS(T$23*$E64+T$24) + T$25*SIN(T$27*$E64+T$28) + T$26*COS(T$27*$E64+T$28)</f>
        <v>0.00103183865721873</v>
      </c>
      <c r="U64" s="0" t="n">
        <f aca="false">U$8+U$9*SIN(U$11*$E64+U$12)+U$10*COS(U$11*$E64+U$12)+U$13*SIN(U$15*$E64+U$16)+U$14*COS(U$15*$E64+U$16)+U$17*SIN(U$19*$E64+U$20)+U$18*COS(U$19*$E64+U$20) + U$21*SIN(U$23*$E64+U$24)+U$22*COS(U$23*$E64+U$24) + U$25*SIN(U$27*$E64+U$28) + U$26*COS(U$27*$E64+U$28)</f>
        <v>0.000812813016520769</v>
      </c>
      <c r="V64" s="0" t="n">
        <f aca="false">V$8+V$9*SIN(V$11*$E64+V$12)+V$10*COS(V$11*$E64+V$12)+V$13*SIN(V$15*$E64+V$16)+V$14*COS(V$15*$E64+V$16)+V$17*SIN(V$19*$E64+V$20)+V$18*COS(V$19*$E64+V$20) + V$21*SIN(V$23*$E64+V$24)+V$22*COS(V$23*$E64+V$24) + V$25*SIN(V$27*$E64+V$28) + V$26*COS(V$27*$E64+V$28)</f>
        <v>0.00103259885289582</v>
      </c>
      <c r="W64" s="0" t="n">
        <f aca="false">W$8+W$9*SIN(W$11*$E64+W$12)+W$10*COS(W$11*$E64+W$12)+W$13*SIN(W$15*$E64+W$16)+W$14*COS(W$15*$E64+W$16)+W$17*SIN(W$19*$E64+W$20)+W$18*COS(W$19*$E64+W$20) + W$21*SIN(W$23*$E64+W$24)+W$22*COS(W$23*$E64+W$24) + W$25*SIN(W$27*$E64+W$28) + W$26*COS(W$27*$E64+W$28)</f>
        <v>0.000890632917497397</v>
      </c>
      <c r="X64" s="0" t="n">
        <f aca="false">X$8+X$9*SIN(X$11*$E64+X$12)+X$10*COS(X$11*$E64+X$12)+X$13*SIN(X$15*$E64+X$16)+X$14*COS(X$15*$E64+X$16)+X$17*SIN(X$19*$E64+X$20)+X$18*COS(X$19*$E64+X$20) + X$21*SIN(X$23*$E64+X$24)+X$22*COS(X$23*$E64+X$24) + X$25*SIN(X$27*$E64+X$28) + X$26*COS(X$27*$E64+X$28)</f>
        <v>0.000963155639250669</v>
      </c>
      <c r="Y64" s="0" t="n">
        <f aca="false">Y$8+Y$9*SIN(Y$11*$E64+Y$12)+Y$10*COS(Y$11*$E64+Y$12)+Y$13*SIN(Y$15*$E64+Y$16)+Y$14*COS(Y$15*$E64+Y$16)+Y$17*SIN(Y$19*$E64+Y$20)+Y$18*COS(Y$19*$E64+Y$20) + Y$21*SIN(Y$23*$E64+Y$24)+Y$22*COS(Y$23*$E64+Y$24) + Y$25*SIN(Y$27*$E64+Y$28) + Y$26*COS(Y$27*$E64+Y$28)</f>
        <v>0.000801509063426871</v>
      </c>
      <c r="Z64" s="0" t="n">
        <f aca="false">Z$8+Z$9*SIN(Z$11*$E64+Z$12)+Z$10*COS(Z$11*$E64+Z$12)+Z$13*SIN(Z$15*$E64+Z$16)+Z$14*COS(Z$15*$E64+Z$16)+Z$17*SIN(Z$19*$E64+Z$20)+Z$18*COS(Z$19*$E64+Z$20) + Z$21*SIN(Z$23*$E64+Z$24)+Z$22*COS(Z$23*$E64+Z$24) + Z$25*SIN(Z$27*$E64+Z$28) + Z$26*COS(Z$27*$E64+Z$28)</f>
        <v>0.000958735664600604</v>
      </c>
      <c r="AA64" s="0" t="n">
        <f aca="false">AA$8+AA$9*SIN(AA$11*$E64+AA$12)+AA$10*COS(AA$11*$E64+AA$12)+AA$13*SIN(AA$15*$E64+AA$16)+AA$14*COS(AA$15*$E64+AA$16)+AA$17*SIN(AA$19*$E64+AA$20)+AA$18*COS(AA$19*$E64+AA$20) + AA$21*SIN(AA$23*$E64+AA$24)+AA$22*COS(AA$23*$E64+AA$24) + AA$25*SIN(AA$27*$E64+AA$28) + AA$26*COS(AA$27*$E64+AA$28)</f>
        <v>0.000717110971261563</v>
      </c>
      <c r="AB64" s="0" t="n">
        <f aca="false">AB$8+AB$9*SIN(AB$11*$E64+AB$12)+AB$10*COS(AB$11*$E64+AB$12)+AB$13*SIN(AB$15*$E64+AB$16)+AB$14*COS(AB$15*$E64+AB$16)+AB$17*SIN(AB$19*$E64+AB$20)+AB$18*COS(AB$19*$E64+AB$20) + AB$21*SIN(AB$23*$E64+AB$24)+AB$22*COS(AB$23*$E64+AB$24) + AB$25*SIN(AB$27*$E64+AB$28) + AB$26*COS(AB$27*$E64+AB$28)</f>
        <v>0.000655612349853448</v>
      </c>
      <c r="AC64" s="0" t="n">
        <f aca="false">AC$8+AC$9*SIN(AC$11*$E64+AC$12)+AC$10*COS(AC$11*$E64+AC$12)+AC$13*SIN(AC$15*$E64+AC$16)+AC$14*COS(AC$15*$E64+AC$16)+AC$17*SIN(AC$19*$E64+AC$20)+AC$18*COS(AC$19*$E64+AC$20) + AC$21*SIN(AC$23*$E64+AC$24)+AC$22*COS(AC$23*$E64+AC$24) + AC$25*SIN(AC$27*$E64+AC$28) + AC$26*COS(AC$27*$E64+AC$28)</f>
        <v>0.000763624754337891</v>
      </c>
      <c r="AJ64" s="5" t="n">
        <v>4.398</v>
      </c>
      <c r="AK64" s="5" t="n">
        <v>0</v>
      </c>
      <c r="AL64" s="5" t="n">
        <v>6.77</v>
      </c>
      <c r="AM64" s="5" t="n">
        <v>5.534</v>
      </c>
      <c r="AN64" s="5" t="n">
        <v>5.498</v>
      </c>
      <c r="AO64" s="5" t="n">
        <v>0</v>
      </c>
    </row>
    <row r="65" customFormat="false" ht="15" hidden="false" customHeight="false" outlineLevel="0" collapsed="false">
      <c r="E65" s="0" t="n">
        <v>18</v>
      </c>
      <c r="F65" s="0" t="n">
        <f aca="false">F$8+F$9*SIN(F$11*$E65+F$12)+F$10*COS(F$11*$E65+F$12)+F$13*SIN(F$15*$E65+F$16)+F$14*COS(F$15*$E65+F$16)+F$17*SIN(F$19*$E65+F$20)+F$18*COS(F$19*$E65+F$20) + F$21*SIN(F$23*$E65+F$24)+F$22*COS(F$23*$E65+F$24) + F$25*SIN(F$27*$E65+F$28) + F$26*COS(F$27*$E65+F$28)</f>
        <v>0.00110100363902538</v>
      </c>
      <c r="G65" s="0" t="n">
        <f aca="false">G$8+G$9*SIN(G$11*$E65+G$12)+G$10*COS(G$11*$E65+G$12)+G$13*SIN(G$15*$E65+G$16)+G$14*COS(G$15*$E65+G$16)+G$17*SIN(G$19*$E65+G$20)+G$18*COS(G$19*$E65+G$20) + G$21*SIN(G$23*$E65+G$24)+G$22*COS(G$23*$E65+G$24) + G$25*SIN(G$27*$E65+G$28) + G$26*COS(G$27*$E65+G$28)</f>
        <v>0.000887349293103224</v>
      </c>
      <c r="H65" s="0" t="n">
        <f aca="false">H$8+H$9*SIN(H$11*$E65+H$12)+H$10*COS(H$11*$E65+H$12)+H$13*SIN(H$15*$E65+H$16)+H$14*COS(H$15*$E65+H$16)+H$17*SIN(H$19*$E65+H$20)+H$18*COS(H$19*$E65+H$20) + H$21*SIN(H$23*$E65+H$24)+H$22*COS(H$23*$E65+H$24) + H$25*SIN(H$27*$E65+H$28) + H$26*COS(H$27*$E65+H$28)</f>
        <v>0.00109022038337186</v>
      </c>
      <c r="I65" s="0" t="n">
        <f aca="false">I$8+I$9*SIN(I$11*$E65+I$12)+I$10*COS(I$11*$E65+I$12)+I$13*SIN(I$15*$E65+I$16)+I$14*COS(I$15*$E65+I$16)+I$17*SIN(I$19*$E65+I$20)+I$18*COS(I$19*$E65+I$20) + I$21*SIN(I$23*$E65+I$24)+I$22*COS(I$23*$E65+I$24) + I$25*SIN(I$27*$E65+I$28) + I$26*COS(I$27*$E65+I$28)</f>
        <v>0.000868955917091732</v>
      </c>
      <c r="J65" s="0" t="n">
        <f aca="false">J$8+J$9*SIN(J$11*$E65+J$12)+J$10*COS(J$11*$E65+J$12)+J$13*SIN(J$15*$E65+J$16)+J$14*COS(J$15*$E65+J$16)+J$17*SIN(J$19*$E65+J$20)+J$18*COS(J$19*$E65+J$20) + J$21*SIN(J$23*$E65+J$24)+J$22*COS(J$23*$E65+J$24) + J$25*SIN(J$27*$E65+J$28) + J$26*COS(J$27*$E65+J$28)</f>
        <v>0.000819348692394685</v>
      </c>
      <c r="K65" s="0" t="n">
        <f aca="false">K$8+K$9*SIN(K$11*$E65+K$12)+K$10*COS(K$11*$E65+K$12)+K$13*SIN(K$15*$E65+K$16)+K$14*COS(K$15*$E65+K$16)+K$17*SIN(K$19*$E65+K$20)+K$18*COS(K$19*$E65+K$20) + K$21*SIN(K$23*$E65+K$24)+K$22*COS(K$23*$E65+K$24) + K$25*SIN(K$27*$E65+K$28) + K$26*COS(K$27*$E65+K$28)</f>
        <v>0.00083984101789262</v>
      </c>
      <c r="L65" s="0" t="n">
        <f aca="false">L$8+L$9*SIN(L$11*$E65+L$12)+L$10*COS(L$11*$E65+L$12)+L$13*SIN(L$15*$E65+L$16)+L$14*COS(L$15*$E65+L$16)+L$17*SIN(L$19*$E65+L$20)+L$18*COS(L$19*$E65+L$20) + L$21*SIN(L$23*$E65+L$24)+L$22*COS(L$23*$E65+L$24) + L$25*SIN(L$27*$E65+L$28) + L$26*COS(L$27*$E65+L$28)</f>
        <v>0.000878100843853331</v>
      </c>
      <c r="M65" s="0" t="n">
        <f aca="false">M$8+M$9*SIN(M$11*$E65+M$12)+M$10*COS(M$11*$E65+M$12)+M$13*SIN(M$15*$E65+M$16)+M$14*COS(M$15*$E65+M$16)+M$17*SIN(M$19*$E65+M$20)+M$18*COS(M$19*$E65+M$20) + M$21*SIN(M$23*$E65+M$24)+M$22*COS(M$23*$E65+M$24) + M$25*SIN(M$27*$E65+M$28) + M$26*COS(M$27*$E65+M$28)</f>
        <v>0.000698996541162674</v>
      </c>
      <c r="N65" s="0" t="n">
        <f aca="false">N$8+N$9*SIN(N$11*$E65+N$12)+N$10*COS(N$11*$E65+N$12)+N$13*SIN(N$15*$E65+N$16)+N$14*COS(N$15*$E65+N$16)+N$17*SIN(N$19*$E65+N$20)+N$18*COS(N$19*$E65+N$20) + N$21*SIN(N$23*$E65+N$24)+N$22*COS(N$23*$E65+N$24) + N$25*SIN(N$27*$E65+N$28) + N$26*COS(N$27*$E65+N$28)</f>
        <v>0.00100506413203191</v>
      </c>
      <c r="O65" s="0" t="n">
        <f aca="false">O$8+O$9*SIN(O$11*$E65+O$12)+O$10*COS(O$11*$E65+O$12)+O$13*SIN(O$15*$E65+O$16)+O$14*COS(O$15*$E65+O$16)+O$17*SIN(O$19*$E65+O$20)+O$18*COS(O$19*$E65+O$20) + O$21*SIN(O$23*$E65+O$24)+O$22*COS(O$23*$E65+O$24) + O$25*SIN(O$27*$E65+O$28) + O$26*COS(O$27*$E65+O$28)</f>
        <v>0.000745359536893994</v>
      </c>
      <c r="P65" s="0" t="n">
        <f aca="false">P$8+P$9*SIN(P$11*$E65+P$12)+P$10*COS(P$11*$E65+P$12)+P$13*SIN(P$15*$E65+P$16)+P$14*COS(P$15*$E65+P$16)+P$17*SIN(P$19*$E65+P$20)+P$18*COS(P$19*$E65+P$20) + P$21*SIN(P$23*$E65+P$24)+P$22*COS(P$23*$E65+P$24) + P$25*SIN(P$27*$E65+P$28) + P$26*COS(P$27*$E65+P$28)</f>
        <v>0.000549369321610712</v>
      </c>
      <c r="Q65" s="0" t="n">
        <f aca="false">Q$8+Q$9*SIN(Q$11*$E65+Q$12)+Q$10*COS(Q$11*$E65+Q$12)+Q$13*SIN(Q$15*$E65+Q$16)+Q$14*COS(Q$15*$E65+Q$16)+Q$17*SIN(Q$19*$E65+Q$20)+Q$18*COS(Q$19*$E65+Q$20) + Q$21*SIN(Q$23*$E65+Q$24)+Q$22*COS(Q$23*$E65+Q$24) + Q$25*SIN(Q$27*$E65+Q$28) + Q$26*COS(Q$27*$E65+Q$28)</f>
        <v>0.000850250916523326</v>
      </c>
      <c r="R65" s="0" t="n">
        <f aca="false">R$8+R$9*SIN(R$11*$E65+R$12)+R$10*COS(R$11*$E65+R$12)+R$13*SIN(R$15*$E65+R$16)+R$14*COS(R$15*$E65+R$16)+R$17*SIN(R$19*$E65+R$20)+R$18*COS(R$19*$E65+R$20) + R$21*SIN(R$23*$E65+R$24)+R$22*COS(R$23*$E65+R$24) + R$25*SIN(R$27*$E65+R$28) + R$26*COS(R$27*$E65+R$28)</f>
        <v>0.000819376926210514</v>
      </c>
      <c r="S65" s="0" t="n">
        <f aca="false">S$8+S$9*SIN(S$11*$E65+S$12)+S$10*COS(S$11*$E65+S$12)+S$13*SIN(S$15*$E65+S$16)+S$14*COS(S$15*$E65+S$16)+S$17*SIN(S$19*$E65+S$20)+S$18*COS(S$19*$E65+S$20) + S$21*SIN(S$23*$E65+S$24)+S$22*COS(S$23*$E65+S$24) + S$25*SIN(S$27*$E65+S$28) + S$26*COS(S$27*$E65+S$28)</f>
        <v>0.000808447483245546</v>
      </c>
      <c r="T65" s="0" t="n">
        <f aca="false">T$8+T$9*SIN(T$11*$E65+T$12)+T$10*COS(T$11*$E65+T$12)+T$13*SIN(T$15*$E65+T$16)+T$14*COS(T$15*$E65+T$16)+T$17*SIN(T$19*$E65+T$20)+T$18*COS(T$19*$E65+T$20) + T$21*SIN(T$23*$E65+T$24)+T$22*COS(T$23*$E65+T$24) + T$25*SIN(T$27*$E65+T$28) + T$26*COS(T$27*$E65+T$28)</f>
        <v>0.00101956194713976</v>
      </c>
      <c r="U65" s="0" t="n">
        <f aca="false">U$8+U$9*SIN(U$11*$E65+U$12)+U$10*COS(U$11*$E65+U$12)+U$13*SIN(U$15*$E65+U$16)+U$14*COS(U$15*$E65+U$16)+U$17*SIN(U$19*$E65+U$20)+U$18*COS(U$19*$E65+U$20) + U$21*SIN(U$23*$E65+U$24)+U$22*COS(U$23*$E65+U$24) + U$25*SIN(U$27*$E65+U$28) + U$26*COS(U$27*$E65+U$28)</f>
        <v>0.00083541633347388</v>
      </c>
      <c r="V65" s="0" t="n">
        <f aca="false">V$8+V$9*SIN(V$11*$E65+V$12)+V$10*COS(V$11*$E65+V$12)+V$13*SIN(V$15*$E65+V$16)+V$14*COS(V$15*$E65+V$16)+V$17*SIN(V$19*$E65+V$20)+V$18*COS(V$19*$E65+V$20) + V$21*SIN(V$23*$E65+V$24)+V$22*COS(V$23*$E65+V$24) + V$25*SIN(V$27*$E65+V$28) + V$26*COS(V$27*$E65+V$28)</f>
        <v>0.000965173043917221</v>
      </c>
      <c r="W65" s="0" t="n">
        <f aca="false">W$8+W$9*SIN(W$11*$E65+W$12)+W$10*COS(W$11*$E65+W$12)+W$13*SIN(W$15*$E65+W$16)+W$14*COS(W$15*$E65+W$16)+W$17*SIN(W$19*$E65+W$20)+W$18*COS(W$19*$E65+W$20) + W$21*SIN(W$23*$E65+W$24)+W$22*COS(W$23*$E65+W$24) + W$25*SIN(W$27*$E65+W$28) + W$26*COS(W$27*$E65+W$28)</f>
        <v>0.000828699333951839</v>
      </c>
      <c r="X65" s="0" t="n">
        <f aca="false">X$8+X$9*SIN(X$11*$E65+X$12)+X$10*COS(X$11*$E65+X$12)+X$13*SIN(X$15*$E65+X$16)+X$14*COS(X$15*$E65+X$16)+X$17*SIN(X$19*$E65+X$20)+X$18*COS(X$19*$E65+X$20) + X$21*SIN(X$23*$E65+X$24)+X$22*COS(X$23*$E65+X$24) + X$25*SIN(X$27*$E65+X$28) + X$26*COS(X$27*$E65+X$28)</f>
        <v>0.000905163861633363</v>
      </c>
      <c r="Y65" s="0" t="n">
        <f aca="false">Y$8+Y$9*SIN(Y$11*$E65+Y$12)+Y$10*COS(Y$11*$E65+Y$12)+Y$13*SIN(Y$15*$E65+Y$16)+Y$14*COS(Y$15*$E65+Y$16)+Y$17*SIN(Y$19*$E65+Y$20)+Y$18*COS(Y$19*$E65+Y$20) + Y$21*SIN(Y$23*$E65+Y$24)+Y$22*COS(Y$23*$E65+Y$24) + Y$25*SIN(Y$27*$E65+Y$28) + Y$26*COS(Y$27*$E65+Y$28)</f>
        <v>0.000742003086318174</v>
      </c>
      <c r="Z65" s="0" t="n">
        <f aca="false">Z$8+Z$9*SIN(Z$11*$E65+Z$12)+Z$10*COS(Z$11*$E65+Z$12)+Z$13*SIN(Z$15*$E65+Z$16)+Z$14*COS(Z$15*$E65+Z$16)+Z$17*SIN(Z$19*$E65+Z$20)+Z$18*COS(Z$19*$E65+Z$20) + Z$21*SIN(Z$23*$E65+Z$24)+Z$22*COS(Z$23*$E65+Z$24) + Z$25*SIN(Z$27*$E65+Z$28) + Z$26*COS(Z$27*$E65+Z$28)</f>
        <v>0.000965557874791855</v>
      </c>
      <c r="AA65" s="0" t="n">
        <f aca="false">AA$8+AA$9*SIN(AA$11*$E65+AA$12)+AA$10*COS(AA$11*$E65+AA$12)+AA$13*SIN(AA$15*$E65+AA$16)+AA$14*COS(AA$15*$E65+AA$16)+AA$17*SIN(AA$19*$E65+AA$20)+AA$18*COS(AA$19*$E65+AA$20) + AA$21*SIN(AA$23*$E65+AA$24)+AA$22*COS(AA$23*$E65+AA$24) + AA$25*SIN(AA$27*$E65+AA$28) + AA$26*COS(AA$27*$E65+AA$28)</f>
        <v>0.000717167436603343</v>
      </c>
      <c r="AB65" s="0" t="n">
        <f aca="false">AB$8+AB$9*SIN(AB$11*$E65+AB$12)+AB$10*COS(AB$11*$E65+AB$12)+AB$13*SIN(AB$15*$E65+AB$16)+AB$14*COS(AB$15*$E65+AB$16)+AB$17*SIN(AB$19*$E65+AB$20)+AB$18*COS(AB$19*$E65+AB$20) + AB$21*SIN(AB$23*$E65+AB$24)+AB$22*COS(AB$23*$E65+AB$24) + AB$25*SIN(AB$27*$E65+AB$28) + AB$26*COS(AB$27*$E65+AB$28)</f>
        <v>0.00066277811486224</v>
      </c>
      <c r="AC65" s="0" t="n">
        <f aca="false">AC$8+AC$9*SIN(AC$11*$E65+AC$12)+AC$10*COS(AC$11*$E65+AC$12)+AC$13*SIN(AC$15*$E65+AC$16)+AC$14*COS(AC$15*$E65+AC$16)+AC$17*SIN(AC$19*$E65+AC$20)+AC$18*COS(AC$19*$E65+AC$20) + AC$21*SIN(AC$23*$E65+AC$24)+AC$22*COS(AC$23*$E65+AC$24) + AC$25*SIN(AC$27*$E65+AC$28) + AC$26*COS(AC$27*$E65+AC$28)</f>
        <v>0.000779333482612111</v>
      </c>
      <c r="AJ65" s="5" t="n">
        <v>-0.084</v>
      </c>
      <c r="AK65" s="5" t="n">
        <v>0</v>
      </c>
      <c r="AL65" s="5" t="n">
        <v>0</v>
      </c>
      <c r="AM65" s="5" t="n">
        <v>-0.04</v>
      </c>
      <c r="AN65" s="5" t="n">
        <v>-0.07</v>
      </c>
      <c r="AO65" s="5" t="n">
        <v>-0.035</v>
      </c>
    </row>
    <row r="66" customFormat="false" ht="15" hidden="false" customHeight="false" outlineLevel="0" collapsed="false">
      <c r="E66" s="0" t="n">
        <v>19</v>
      </c>
      <c r="F66" s="0" t="n">
        <f aca="false">F$8+F$9*SIN(F$11*$E66+F$12)+F$10*COS(F$11*$E66+F$12)+F$13*SIN(F$15*$E66+F$16)+F$14*COS(F$15*$E66+F$16)+F$17*SIN(F$19*$E66+F$20)+F$18*COS(F$19*$E66+F$20) + F$21*SIN(F$23*$E66+F$24)+F$22*COS(F$23*$E66+F$24) + F$25*SIN(F$27*$E66+F$28) + F$26*COS(F$27*$E66+F$28)</f>
        <v>0.00114509930776469</v>
      </c>
      <c r="G66" s="0" t="n">
        <f aca="false">G$8+G$9*SIN(G$11*$E66+G$12)+G$10*COS(G$11*$E66+G$12)+G$13*SIN(G$15*$E66+G$16)+G$14*COS(G$15*$E66+G$16)+G$17*SIN(G$19*$E66+G$20)+G$18*COS(G$19*$E66+G$20) + G$21*SIN(G$23*$E66+G$24)+G$22*COS(G$23*$E66+G$24) + G$25*SIN(G$27*$E66+G$28) + G$26*COS(G$27*$E66+G$28)</f>
        <v>0.000904079739956004</v>
      </c>
      <c r="H66" s="0" t="n">
        <f aca="false">H$8+H$9*SIN(H$11*$E66+H$12)+H$10*COS(H$11*$E66+H$12)+H$13*SIN(H$15*$E66+H$16)+H$14*COS(H$15*$E66+H$16)+H$17*SIN(H$19*$E66+H$20)+H$18*COS(H$19*$E66+H$20) + H$21*SIN(H$23*$E66+H$24)+H$22*COS(H$23*$E66+H$24) + H$25*SIN(H$27*$E66+H$28) + H$26*COS(H$27*$E66+H$28)</f>
        <v>0.00115725505580702</v>
      </c>
      <c r="I66" s="0" t="n">
        <f aca="false">I$8+I$9*SIN(I$11*$E66+I$12)+I$10*COS(I$11*$E66+I$12)+I$13*SIN(I$15*$E66+I$16)+I$14*COS(I$15*$E66+I$16)+I$17*SIN(I$19*$E66+I$20)+I$18*COS(I$19*$E66+I$20) + I$21*SIN(I$23*$E66+I$24)+I$22*COS(I$23*$E66+I$24) + I$25*SIN(I$27*$E66+I$28) + I$26*COS(I$27*$E66+I$28)</f>
        <v>0.00093533370844495</v>
      </c>
      <c r="J66" s="0" t="n">
        <f aca="false">J$8+J$9*SIN(J$11*$E66+J$12)+J$10*COS(J$11*$E66+J$12)+J$13*SIN(J$15*$E66+J$16)+J$14*COS(J$15*$E66+J$16)+J$17*SIN(J$19*$E66+J$20)+J$18*COS(J$19*$E66+J$20) + J$21*SIN(J$23*$E66+J$24)+J$22*COS(J$23*$E66+J$24) + J$25*SIN(J$27*$E66+J$28) + J$26*COS(J$27*$E66+J$28)</f>
        <v>0.000819350150646542</v>
      </c>
      <c r="K66" s="0" t="n">
        <f aca="false">K$8+K$9*SIN(K$11*$E66+K$12)+K$10*COS(K$11*$E66+K$12)+K$13*SIN(K$15*$E66+K$16)+K$14*COS(K$15*$E66+K$16)+K$17*SIN(K$19*$E66+K$20)+K$18*COS(K$19*$E66+K$20) + K$21*SIN(K$23*$E66+K$24)+K$22*COS(K$23*$E66+K$24) + K$25*SIN(K$27*$E66+K$28) + K$26*COS(K$27*$E66+K$28)</f>
        <v>0.00083005405857877</v>
      </c>
      <c r="L66" s="0" t="n">
        <f aca="false">L$8+L$9*SIN(L$11*$E66+L$12)+L$10*COS(L$11*$E66+L$12)+L$13*SIN(L$15*$E66+L$16)+L$14*COS(L$15*$E66+L$16)+L$17*SIN(L$19*$E66+L$20)+L$18*COS(L$19*$E66+L$20) + L$21*SIN(L$23*$E66+L$24)+L$22*COS(L$23*$E66+L$24) + L$25*SIN(L$27*$E66+L$28) + L$26*COS(L$27*$E66+L$28)</f>
        <v>0.000870973408661317</v>
      </c>
      <c r="M66" s="0" t="n">
        <f aca="false">M$8+M$9*SIN(M$11*$E66+M$12)+M$10*COS(M$11*$E66+M$12)+M$13*SIN(M$15*$E66+M$16)+M$14*COS(M$15*$E66+M$16)+M$17*SIN(M$19*$E66+M$20)+M$18*COS(M$19*$E66+M$20) + M$21*SIN(M$23*$E66+M$24)+M$22*COS(M$23*$E66+M$24) + M$25*SIN(M$27*$E66+M$28) + M$26*COS(M$27*$E66+M$28)</f>
        <v>0.000689251628420081</v>
      </c>
      <c r="N66" s="0" t="n">
        <f aca="false">N$8+N$9*SIN(N$11*$E66+N$12)+N$10*COS(N$11*$E66+N$12)+N$13*SIN(N$15*$E66+N$16)+N$14*COS(N$15*$E66+N$16)+N$17*SIN(N$19*$E66+N$20)+N$18*COS(N$19*$E66+N$20) + N$21*SIN(N$23*$E66+N$24)+N$22*COS(N$23*$E66+N$24) + N$25*SIN(N$27*$E66+N$28) + N$26*COS(N$27*$E66+N$28)</f>
        <v>0.00100676260172737</v>
      </c>
      <c r="O66" s="0" t="n">
        <f aca="false">O$8+O$9*SIN(O$11*$E66+O$12)+O$10*COS(O$11*$E66+O$12)+O$13*SIN(O$15*$E66+O$16)+O$14*COS(O$15*$E66+O$16)+O$17*SIN(O$19*$E66+O$20)+O$18*COS(O$19*$E66+O$20) + O$21*SIN(O$23*$E66+O$24)+O$22*COS(O$23*$E66+O$24) + O$25*SIN(O$27*$E66+O$28) + O$26*COS(O$27*$E66+O$28)</f>
        <v>0.000743800144474601</v>
      </c>
      <c r="P66" s="0" t="n">
        <f aca="false">P$8+P$9*SIN(P$11*$E66+P$12)+P$10*COS(P$11*$E66+P$12)+P$13*SIN(P$15*$E66+P$16)+P$14*COS(P$15*$E66+P$16)+P$17*SIN(P$19*$E66+P$20)+P$18*COS(P$19*$E66+P$20) + P$21*SIN(P$23*$E66+P$24)+P$22*COS(P$23*$E66+P$24) + P$25*SIN(P$27*$E66+P$28) + P$26*COS(P$27*$E66+P$28)</f>
        <v>0.000564113492561045</v>
      </c>
      <c r="Q66" s="0" t="n">
        <f aca="false">Q$8+Q$9*SIN(Q$11*$E66+Q$12)+Q$10*COS(Q$11*$E66+Q$12)+Q$13*SIN(Q$15*$E66+Q$16)+Q$14*COS(Q$15*$E66+Q$16)+Q$17*SIN(Q$19*$E66+Q$20)+Q$18*COS(Q$19*$E66+Q$20) + Q$21*SIN(Q$23*$E66+Q$24)+Q$22*COS(Q$23*$E66+Q$24) + Q$25*SIN(Q$27*$E66+Q$28) + Q$26*COS(Q$27*$E66+Q$28)</f>
        <v>0.000863782819361114</v>
      </c>
      <c r="R66" s="0" t="n">
        <f aca="false">R$8+R$9*SIN(R$11*$E66+R$12)+R$10*COS(R$11*$E66+R$12)+R$13*SIN(R$15*$E66+R$16)+R$14*COS(R$15*$E66+R$16)+R$17*SIN(R$19*$E66+R$20)+R$18*COS(R$19*$E66+R$20) + R$21*SIN(R$23*$E66+R$24)+R$22*COS(R$23*$E66+R$24) + R$25*SIN(R$27*$E66+R$28) + R$26*COS(R$27*$E66+R$28)</f>
        <v>0.00081937305971205</v>
      </c>
      <c r="S66" s="0" t="n">
        <f aca="false">S$8+S$9*SIN(S$11*$E66+S$12)+S$10*COS(S$11*$E66+S$12)+S$13*SIN(S$15*$E66+S$16)+S$14*COS(S$15*$E66+S$16)+S$17*SIN(S$19*$E66+S$20)+S$18*COS(S$19*$E66+S$20) + S$21*SIN(S$23*$E66+S$24)+S$22*COS(S$23*$E66+S$24) + S$25*SIN(S$27*$E66+S$28) + S$26*COS(S$27*$E66+S$28)</f>
        <v>0.000826633874255311</v>
      </c>
      <c r="T66" s="0" t="n">
        <f aca="false">T$8+T$9*SIN(T$11*$E66+T$12)+T$10*COS(T$11*$E66+T$12)+T$13*SIN(T$15*$E66+T$16)+T$14*COS(T$15*$E66+T$16)+T$17*SIN(T$19*$E66+T$20)+T$18*COS(T$19*$E66+T$20) + T$21*SIN(T$23*$E66+T$24)+T$22*COS(T$23*$E66+T$24) + T$25*SIN(T$27*$E66+T$28) + T$26*COS(T$27*$E66+T$28)</f>
        <v>0.00101328736443033</v>
      </c>
      <c r="U66" s="0" t="n">
        <f aca="false">U$8+U$9*SIN(U$11*$E66+U$12)+U$10*COS(U$11*$E66+U$12)+U$13*SIN(U$15*$E66+U$16)+U$14*COS(U$15*$E66+U$16)+U$17*SIN(U$19*$E66+U$20)+U$18*COS(U$19*$E66+U$20) + U$21*SIN(U$23*$E66+U$24)+U$22*COS(U$23*$E66+U$24) + U$25*SIN(U$27*$E66+U$28) + U$26*COS(U$27*$E66+U$28)</f>
        <v>0.000860695317290273</v>
      </c>
      <c r="V66" s="0" t="n">
        <f aca="false">V$8+V$9*SIN(V$11*$E66+V$12)+V$10*COS(V$11*$E66+V$12)+V$13*SIN(V$15*$E66+V$16)+V$14*COS(V$15*$E66+V$16)+V$17*SIN(V$19*$E66+V$20)+V$18*COS(V$19*$E66+V$20) + V$21*SIN(V$23*$E66+V$24)+V$22*COS(V$23*$E66+V$24) + V$25*SIN(V$27*$E66+V$28) + V$26*COS(V$27*$E66+V$28)</f>
        <v>0.000917715755499628</v>
      </c>
      <c r="W66" s="0" t="n">
        <f aca="false">W$8+W$9*SIN(W$11*$E66+W$12)+W$10*COS(W$11*$E66+W$12)+W$13*SIN(W$15*$E66+W$16)+W$14*COS(W$15*$E66+W$16)+W$17*SIN(W$19*$E66+W$20)+W$18*COS(W$19*$E66+W$20) + W$21*SIN(W$23*$E66+W$24)+W$22*COS(W$23*$E66+W$24) + W$25*SIN(W$27*$E66+W$28) + W$26*COS(W$27*$E66+W$28)</f>
        <v>0.000826089751200978</v>
      </c>
      <c r="X66" s="0" t="n">
        <f aca="false">X$8+X$9*SIN(X$11*$E66+X$12)+X$10*COS(X$11*$E66+X$12)+X$13*SIN(X$15*$E66+X$16)+X$14*COS(X$15*$E66+X$16)+X$17*SIN(X$19*$E66+X$20)+X$18*COS(X$19*$E66+X$20) + X$21*SIN(X$23*$E66+X$24)+X$22*COS(X$23*$E66+X$24) + X$25*SIN(X$27*$E66+X$28) + X$26*COS(X$27*$E66+X$28)</f>
        <v>0.000843077469230556</v>
      </c>
      <c r="Y66" s="0" t="n">
        <f aca="false">Y$8+Y$9*SIN(Y$11*$E66+Y$12)+Y$10*COS(Y$11*$E66+Y$12)+Y$13*SIN(Y$15*$E66+Y$16)+Y$14*COS(Y$15*$E66+Y$16)+Y$17*SIN(Y$19*$E66+Y$20)+Y$18*COS(Y$19*$E66+Y$20) + Y$21*SIN(Y$23*$E66+Y$24)+Y$22*COS(Y$23*$E66+Y$24) + Y$25*SIN(Y$27*$E66+Y$28) + Y$26*COS(Y$27*$E66+Y$28)</f>
        <v>0.000685668604314398</v>
      </c>
      <c r="Z66" s="0" t="n">
        <f aca="false">Z$8+Z$9*SIN(Z$11*$E66+Z$12)+Z$10*COS(Z$11*$E66+Z$12)+Z$13*SIN(Z$15*$E66+Z$16)+Z$14*COS(Z$15*$E66+Z$16)+Z$17*SIN(Z$19*$E66+Z$20)+Z$18*COS(Z$19*$E66+Z$20) + Z$21*SIN(Z$23*$E66+Z$24)+Z$22*COS(Z$23*$E66+Z$24) + Z$25*SIN(Z$27*$E66+Z$28) + Z$26*COS(Z$27*$E66+Z$28)</f>
        <v>0.000935437842383364</v>
      </c>
      <c r="AA66" s="0" t="n">
        <f aca="false">AA$8+AA$9*SIN(AA$11*$E66+AA$12)+AA$10*COS(AA$11*$E66+AA$12)+AA$13*SIN(AA$15*$E66+AA$16)+AA$14*COS(AA$15*$E66+AA$16)+AA$17*SIN(AA$19*$E66+AA$20)+AA$18*COS(AA$19*$E66+AA$20) + AA$21*SIN(AA$23*$E66+AA$24)+AA$22*COS(AA$23*$E66+AA$24) + AA$25*SIN(AA$27*$E66+AA$28) + AA$26*COS(AA$27*$E66+AA$28)</f>
        <v>0.000717133074550877</v>
      </c>
      <c r="AB66" s="0" t="n">
        <f aca="false">AB$8+AB$9*SIN(AB$11*$E66+AB$12)+AB$10*COS(AB$11*$E66+AB$12)+AB$13*SIN(AB$15*$E66+AB$16)+AB$14*COS(AB$15*$E66+AB$16)+AB$17*SIN(AB$19*$E66+AB$20)+AB$18*COS(AB$19*$E66+AB$20) + AB$21*SIN(AB$23*$E66+AB$24)+AB$22*COS(AB$23*$E66+AB$24) + AB$25*SIN(AB$27*$E66+AB$28) + AB$26*COS(AB$27*$E66+AB$28)</f>
        <v>0.000670764254119934</v>
      </c>
      <c r="AC66" s="0" t="n">
        <f aca="false">AC$8+AC$9*SIN(AC$11*$E66+AC$12)+AC$10*COS(AC$11*$E66+AC$12)+AC$13*SIN(AC$15*$E66+AC$16)+AC$14*COS(AC$15*$E66+AC$16)+AC$17*SIN(AC$19*$E66+AC$20)+AC$18*COS(AC$19*$E66+AC$20) + AC$21*SIN(AC$23*$E66+AC$24)+AC$22*COS(AC$23*$E66+AC$24) + AC$25*SIN(AC$27*$E66+AC$28) + AC$26*COS(AC$27*$E66+AC$28)</f>
        <v>0.000809659983539111</v>
      </c>
      <c r="AJ66" s="5" t="n">
        <v>0</v>
      </c>
      <c r="AK66" s="5" t="n">
        <v>-0.066</v>
      </c>
      <c r="AL66" s="5" t="n">
        <v>-0.072</v>
      </c>
      <c r="AM66" s="5" t="n">
        <v>0</v>
      </c>
      <c r="AN66" s="5" t="n">
        <v>-0.068</v>
      </c>
      <c r="AO66" s="5" t="n">
        <v>-0.051</v>
      </c>
    </row>
    <row r="67" customFormat="false" ht="15" hidden="false" customHeight="false" outlineLevel="0" collapsed="false">
      <c r="E67" s="0" t="n">
        <v>20</v>
      </c>
      <c r="F67" s="0" t="n">
        <f aca="false">F$8+F$9*SIN(F$11*$E67+F$12)+F$10*COS(F$11*$E67+F$12)+F$13*SIN(F$15*$E67+F$16)+F$14*COS(F$15*$E67+F$16)+F$17*SIN(F$19*$E67+F$20)+F$18*COS(F$19*$E67+F$20) + F$21*SIN(F$23*$E67+F$24)+F$22*COS(F$23*$E67+F$24) + F$25*SIN(F$27*$E67+F$28) + F$26*COS(F$27*$E67+F$28)</f>
        <v>0.00113042099815629</v>
      </c>
      <c r="G67" s="0" t="n">
        <f aca="false">G$8+G$9*SIN(G$11*$E67+G$12)+G$10*COS(G$11*$E67+G$12)+G$13*SIN(G$15*$E67+G$16)+G$14*COS(G$15*$E67+G$16)+G$17*SIN(G$19*$E67+G$20)+G$18*COS(G$19*$E67+G$20) + G$21*SIN(G$23*$E67+G$24)+G$22*COS(G$23*$E67+G$24) + G$25*SIN(G$27*$E67+G$28) + G$26*COS(G$27*$E67+G$28)</f>
        <v>0.000918233180460897</v>
      </c>
      <c r="H67" s="0" t="n">
        <f aca="false">H$8+H$9*SIN(H$11*$E67+H$12)+H$10*COS(H$11*$E67+H$12)+H$13*SIN(H$15*$E67+H$16)+H$14*COS(H$15*$E67+H$16)+H$17*SIN(H$19*$E67+H$20)+H$18*COS(H$19*$E67+H$20) + H$21*SIN(H$23*$E67+H$24)+H$22*COS(H$23*$E67+H$24) + H$25*SIN(H$27*$E67+H$28) + H$26*COS(H$27*$E67+H$28)</f>
        <v>0.00118636765560151</v>
      </c>
      <c r="I67" s="0" t="n">
        <f aca="false">I$8+I$9*SIN(I$11*$E67+I$12)+I$10*COS(I$11*$E67+I$12)+I$13*SIN(I$15*$E67+I$16)+I$14*COS(I$15*$E67+I$16)+I$17*SIN(I$19*$E67+I$20)+I$18*COS(I$19*$E67+I$20) + I$21*SIN(I$23*$E67+I$24)+I$22*COS(I$23*$E67+I$24) + I$25*SIN(I$27*$E67+I$28) + I$26*COS(I$27*$E67+I$28)</f>
        <v>0.000981047773241268</v>
      </c>
      <c r="J67" s="0" t="n">
        <f aca="false">J$8+J$9*SIN(J$11*$E67+J$12)+J$10*COS(J$11*$E67+J$12)+J$13*SIN(J$15*$E67+J$16)+J$14*COS(J$15*$E67+J$16)+J$17*SIN(J$19*$E67+J$20)+J$18*COS(J$19*$E67+J$20) + J$21*SIN(J$23*$E67+J$24)+J$22*COS(J$23*$E67+J$24) + J$25*SIN(J$27*$E67+J$28) + J$26*COS(J$27*$E67+J$28)</f>
        <v>0.000819345754855189</v>
      </c>
      <c r="K67" s="0" t="n">
        <f aca="false">K$8+K$9*SIN(K$11*$E67+K$12)+K$10*COS(K$11*$E67+K$12)+K$13*SIN(K$15*$E67+K$16)+K$14*COS(K$15*$E67+K$16)+K$17*SIN(K$19*$E67+K$20)+K$18*COS(K$19*$E67+K$20) + K$21*SIN(K$23*$E67+K$24)+K$22*COS(K$23*$E67+K$24) + K$25*SIN(K$27*$E67+K$28) + K$26*COS(K$27*$E67+K$28)</f>
        <v>0.000865401076204088</v>
      </c>
      <c r="L67" s="0" t="n">
        <f aca="false">L$8+L$9*SIN(L$11*$E67+L$12)+L$10*COS(L$11*$E67+L$12)+L$13*SIN(L$15*$E67+L$16)+L$14*COS(L$15*$E67+L$16)+L$17*SIN(L$19*$E67+L$20)+L$18*COS(L$19*$E67+L$20) + L$21*SIN(L$23*$E67+L$24)+L$22*COS(L$23*$E67+L$24) + L$25*SIN(L$27*$E67+L$28) + L$26*COS(L$27*$E67+L$28)</f>
        <v>0.000835306288397114</v>
      </c>
      <c r="M67" s="0" t="n">
        <f aca="false">M$8+M$9*SIN(M$11*$E67+M$12)+M$10*COS(M$11*$E67+M$12)+M$13*SIN(M$15*$E67+M$16)+M$14*COS(M$15*$E67+M$16)+M$17*SIN(M$19*$E67+M$20)+M$18*COS(M$19*$E67+M$20) + M$21*SIN(M$23*$E67+M$24)+M$22*COS(M$23*$E67+M$24) + M$25*SIN(M$27*$E67+M$28) + M$26*COS(M$27*$E67+M$28)</f>
        <v>0.000672668578282088</v>
      </c>
      <c r="N67" s="0" t="n">
        <f aca="false">N$8+N$9*SIN(N$11*$E67+N$12)+N$10*COS(N$11*$E67+N$12)+N$13*SIN(N$15*$E67+N$16)+N$14*COS(N$15*$E67+N$16)+N$17*SIN(N$19*$E67+N$20)+N$18*COS(N$19*$E67+N$20) + N$21*SIN(N$23*$E67+N$24)+N$22*COS(N$23*$E67+N$24) + N$25*SIN(N$27*$E67+N$28) + N$26*COS(N$27*$E67+N$28)</f>
        <v>0.00090091772825907</v>
      </c>
      <c r="O67" s="0" t="n">
        <f aca="false">O$8+O$9*SIN(O$11*$E67+O$12)+O$10*COS(O$11*$E67+O$12)+O$13*SIN(O$15*$E67+O$16)+O$14*COS(O$15*$E67+O$16)+O$17*SIN(O$19*$E67+O$20)+O$18*COS(O$19*$E67+O$20) + O$21*SIN(O$23*$E67+O$24)+O$22*COS(O$23*$E67+O$24) + O$25*SIN(O$27*$E67+O$28) + O$26*COS(O$27*$E67+O$28)</f>
        <v>0.000767677531479079</v>
      </c>
      <c r="P67" s="0" t="n">
        <f aca="false">P$8+P$9*SIN(P$11*$E67+P$12)+P$10*COS(P$11*$E67+P$12)+P$13*SIN(P$15*$E67+P$16)+P$14*COS(P$15*$E67+P$16)+P$17*SIN(P$19*$E67+P$20)+P$18*COS(P$19*$E67+P$20) + P$21*SIN(P$23*$E67+P$24)+P$22*COS(P$23*$E67+P$24) + P$25*SIN(P$27*$E67+P$28) + P$26*COS(P$27*$E67+P$28)</f>
        <v>0.000581985933593766</v>
      </c>
      <c r="Q67" s="0" t="n">
        <f aca="false">Q$8+Q$9*SIN(Q$11*$E67+Q$12)+Q$10*COS(Q$11*$E67+Q$12)+Q$13*SIN(Q$15*$E67+Q$16)+Q$14*COS(Q$15*$E67+Q$16)+Q$17*SIN(Q$19*$E67+Q$20)+Q$18*COS(Q$19*$E67+Q$20) + Q$21*SIN(Q$23*$E67+Q$24)+Q$22*COS(Q$23*$E67+Q$24) + Q$25*SIN(Q$27*$E67+Q$28) + Q$26*COS(Q$27*$E67+Q$28)</f>
        <v>0.000851073960802813</v>
      </c>
      <c r="R67" s="0" t="n">
        <f aca="false">R$8+R$9*SIN(R$11*$E67+R$12)+R$10*COS(R$11*$E67+R$12)+R$13*SIN(R$15*$E67+R$16)+R$14*COS(R$15*$E67+R$16)+R$17*SIN(R$19*$E67+R$20)+R$18*COS(R$19*$E67+R$20) + R$21*SIN(R$23*$E67+R$24)+R$22*COS(R$23*$E67+R$24) + R$25*SIN(R$27*$E67+R$28) + R$26*COS(R$27*$E67+R$28)</f>
        <v>0.000819364556403973</v>
      </c>
      <c r="S67" s="0" t="n">
        <f aca="false">S$8+S$9*SIN(S$11*$E67+S$12)+S$10*COS(S$11*$E67+S$12)+S$13*SIN(S$15*$E67+S$16)+S$14*COS(S$15*$E67+S$16)+S$17*SIN(S$19*$E67+S$20)+S$18*COS(S$19*$E67+S$20) + S$21*SIN(S$23*$E67+S$24)+S$22*COS(S$23*$E67+S$24) + S$25*SIN(S$27*$E67+S$28) + S$26*COS(S$27*$E67+S$28)</f>
        <v>0.000833561032494936</v>
      </c>
      <c r="T67" s="0" t="n">
        <f aca="false">T$8+T$9*SIN(T$11*$E67+T$12)+T$10*COS(T$11*$E67+T$12)+T$13*SIN(T$15*$E67+T$16)+T$14*COS(T$15*$E67+T$16)+T$17*SIN(T$19*$E67+T$20)+T$18*COS(T$19*$E67+T$20) + T$21*SIN(T$23*$E67+T$24)+T$22*COS(T$23*$E67+T$24) + T$25*SIN(T$27*$E67+T$28) + T$26*COS(T$27*$E67+T$28)</f>
        <v>0.00100461816962867</v>
      </c>
      <c r="U67" s="0" t="n">
        <f aca="false">U$8+U$9*SIN(U$11*$E67+U$12)+U$10*COS(U$11*$E67+U$12)+U$13*SIN(U$15*$E67+U$16)+U$14*COS(U$15*$E67+U$16)+U$17*SIN(U$19*$E67+U$20)+U$18*COS(U$19*$E67+U$20) + U$21*SIN(U$23*$E67+U$24)+U$22*COS(U$23*$E67+U$24) + U$25*SIN(U$27*$E67+U$28) + U$26*COS(U$27*$E67+U$28)</f>
        <v>0.000864808832209819</v>
      </c>
      <c r="V67" s="0" t="n">
        <f aca="false">V$8+V$9*SIN(V$11*$E67+V$12)+V$10*COS(V$11*$E67+V$12)+V$13*SIN(V$15*$E67+V$16)+V$14*COS(V$15*$E67+V$16)+V$17*SIN(V$19*$E67+V$20)+V$18*COS(V$19*$E67+V$20) + V$21*SIN(V$23*$E67+V$24)+V$22*COS(V$23*$E67+V$24) + V$25*SIN(V$27*$E67+V$28) + V$26*COS(V$27*$E67+V$28)</f>
        <v>0.000880856233635951</v>
      </c>
      <c r="W67" s="0" t="n">
        <f aca="false">W$8+W$9*SIN(W$11*$E67+W$12)+W$10*COS(W$11*$E67+W$12)+W$13*SIN(W$15*$E67+W$16)+W$14*COS(W$15*$E67+W$16)+W$17*SIN(W$19*$E67+W$20)+W$18*COS(W$19*$E67+W$20) + W$21*SIN(W$23*$E67+W$24)+W$22*COS(W$23*$E67+W$24) + W$25*SIN(W$27*$E67+W$28) + W$26*COS(W$27*$E67+W$28)</f>
        <v>0.000753961911718186</v>
      </c>
      <c r="X67" s="0" t="n">
        <f aca="false">X$8+X$9*SIN(X$11*$E67+X$12)+X$10*COS(X$11*$E67+X$12)+X$13*SIN(X$15*$E67+X$16)+X$14*COS(X$15*$E67+X$16)+X$17*SIN(X$19*$E67+X$20)+X$18*COS(X$19*$E67+X$20) + X$21*SIN(X$23*$E67+X$24)+X$22*COS(X$23*$E67+X$24) + X$25*SIN(X$27*$E67+X$28) + X$26*COS(X$27*$E67+X$28)</f>
        <v>0.000789945783539892</v>
      </c>
      <c r="Y67" s="0" t="n">
        <f aca="false">Y$8+Y$9*SIN(Y$11*$E67+Y$12)+Y$10*COS(Y$11*$E67+Y$12)+Y$13*SIN(Y$15*$E67+Y$16)+Y$14*COS(Y$15*$E67+Y$16)+Y$17*SIN(Y$19*$E67+Y$20)+Y$18*COS(Y$19*$E67+Y$20) + Y$21*SIN(Y$23*$E67+Y$24)+Y$22*COS(Y$23*$E67+Y$24) + Y$25*SIN(Y$27*$E67+Y$28) + Y$26*COS(Y$27*$E67+Y$28)</f>
        <v>0.000650974634841219</v>
      </c>
      <c r="Z67" s="0" t="n">
        <f aca="false">Z$8+Z$9*SIN(Z$11*$E67+Z$12)+Z$10*COS(Z$11*$E67+Z$12)+Z$13*SIN(Z$15*$E67+Z$16)+Z$14*COS(Z$15*$E67+Z$16)+Z$17*SIN(Z$19*$E67+Z$20)+Z$18*COS(Z$19*$E67+Z$20) + Z$21*SIN(Z$23*$E67+Z$24)+Z$22*COS(Z$23*$E67+Z$24) + Z$25*SIN(Z$27*$E67+Z$28) + Z$26*COS(Z$27*$E67+Z$28)</f>
        <v>0.000883360123277133</v>
      </c>
      <c r="AA67" s="0" t="n">
        <f aca="false">AA$8+AA$9*SIN(AA$11*$E67+AA$12)+AA$10*COS(AA$11*$E67+AA$12)+AA$13*SIN(AA$15*$E67+AA$16)+AA$14*COS(AA$15*$E67+AA$16)+AA$17*SIN(AA$19*$E67+AA$20)+AA$18*COS(AA$19*$E67+AA$20) + AA$21*SIN(AA$23*$E67+AA$24)+AA$22*COS(AA$23*$E67+AA$24) + AA$25*SIN(AA$27*$E67+AA$28) + AA$26*COS(AA$27*$E67+AA$28)</f>
        <v>0.000717171025049721</v>
      </c>
      <c r="AB67" s="0" t="n">
        <f aca="false">AB$8+AB$9*SIN(AB$11*$E67+AB$12)+AB$10*COS(AB$11*$E67+AB$12)+AB$13*SIN(AB$15*$E67+AB$16)+AB$14*COS(AB$15*$E67+AB$16)+AB$17*SIN(AB$19*$E67+AB$20)+AB$18*COS(AB$19*$E67+AB$20) + AB$21*SIN(AB$23*$E67+AB$24)+AB$22*COS(AB$23*$E67+AB$24) + AB$25*SIN(AB$27*$E67+AB$28) + AB$26*COS(AB$27*$E67+AB$28)</f>
        <v>0.000679685069807544</v>
      </c>
      <c r="AC67" s="0" t="n">
        <f aca="false">AC$8+AC$9*SIN(AC$11*$E67+AC$12)+AC$10*COS(AC$11*$E67+AC$12)+AC$13*SIN(AC$15*$E67+AC$16)+AC$14*COS(AC$15*$E67+AC$16)+AC$17*SIN(AC$19*$E67+AC$20)+AC$18*COS(AC$19*$E67+AC$20) + AC$21*SIN(AC$23*$E67+AC$24)+AC$22*COS(AC$23*$E67+AC$24) + AC$25*SIN(AC$27*$E67+AC$28) + AC$26*COS(AC$27*$E67+AC$28)</f>
        <v>0.000813329947200824</v>
      </c>
      <c r="AJ67" s="5" t="n">
        <v>9.03</v>
      </c>
      <c r="AK67" s="5" t="n">
        <v>3.935</v>
      </c>
      <c r="AL67" s="5" t="n">
        <v>3.97</v>
      </c>
      <c r="AM67" s="5" t="n">
        <v>4.888</v>
      </c>
      <c r="AN67" s="5" t="n">
        <v>2.873</v>
      </c>
      <c r="AO67" s="5" t="n">
        <v>3.731</v>
      </c>
    </row>
    <row r="68" customFormat="false" ht="15" hidden="false" customHeight="false" outlineLevel="0" collapsed="false">
      <c r="E68" s="0" t="n">
        <v>21</v>
      </c>
      <c r="F68" s="0" t="n">
        <f aca="false">F$8+F$9*SIN(F$11*$E68+F$12)+F$10*COS(F$11*$E68+F$12)+F$13*SIN(F$15*$E68+F$16)+F$14*COS(F$15*$E68+F$16)+F$17*SIN(F$19*$E68+F$20)+F$18*COS(F$19*$E68+F$20) + F$21*SIN(F$23*$E68+F$24)+F$22*COS(F$23*$E68+F$24) + F$25*SIN(F$27*$E68+F$28) + F$26*COS(F$27*$E68+F$28)</f>
        <v>0.00106922569666082</v>
      </c>
      <c r="G68" s="0" t="n">
        <f aca="false">G$8+G$9*SIN(G$11*$E68+G$12)+G$10*COS(G$11*$E68+G$12)+G$13*SIN(G$15*$E68+G$16)+G$14*COS(G$15*$E68+G$16)+G$17*SIN(G$19*$E68+G$20)+G$18*COS(G$19*$E68+G$20) + G$21*SIN(G$23*$E68+G$24)+G$22*COS(G$23*$E68+G$24) + G$25*SIN(G$27*$E68+G$28) + G$26*COS(G$27*$E68+G$28)</f>
        <v>0.000927889457484585</v>
      </c>
      <c r="H68" s="0" t="n">
        <f aca="false">H$8+H$9*SIN(H$11*$E68+H$12)+H$10*COS(H$11*$E68+H$12)+H$13*SIN(H$15*$E68+H$16)+H$14*COS(H$15*$E68+H$16)+H$17*SIN(H$19*$E68+H$20)+H$18*COS(H$19*$E68+H$20) + H$21*SIN(H$23*$E68+H$24)+H$22*COS(H$23*$E68+H$24) + H$25*SIN(H$27*$E68+H$28) + H$26*COS(H$27*$E68+H$28)</f>
        <v>0.00116035022401781</v>
      </c>
      <c r="I68" s="0" t="n">
        <f aca="false">I$8+I$9*SIN(I$11*$E68+I$12)+I$10*COS(I$11*$E68+I$12)+I$13*SIN(I$15*$E68+I$16)+I$14*COS(I$15*$E68+I$16)+I$17*SIN(I$19*$E68+I$20)+I$18*COS(I$19*$E68+I$20) + I$21*SIN(I$23*$E68+I$24)+I$22*COS(I$23*$E68+I$24) + I$25*SIN(I$27*$E68+I$28) + I$26*COS(I$27*$E68+I$28)</f>
        <v>0.000977470980068359</v>
      </c>
      <c r="J68" s="0" t="n">
        <f aca="false">J$8+J$9*SIN(J$11*$E68+J$12)+J$10*COS(J$11*$E68+J$12)+J$13*SIN(J$15*$E68+J$16)+J$14*COS(J$15*$E68+J$16)+J$17*SIN(J$19*$E68+J$20)+J$18*COS(J$19*$E68+J$20) + J$21*SIN(J$23*$E68+J$24)+J$22*COS(J$23*$E68+J$24) + J$25*SIN(J$27*$E68+J$28) + J$26*COS(J$27*$E68+J$28)</f>
        <v>0.000819334690791255</v>
      </c>
      <c r="K68" s="0" t="n">
        <f aca="false">K$8+K$9*SIN(K$11*$E68+K$12)+K$10*COS(K$11*$E68+K$12)+K$13*SIN(K$15*$E68+K$16)+K$14*COS(K$15*$E68+K$16)+K$17*SIN(K$19*$E68+K$20)+K$18*COS(K$19*$E68+K$20) + K$21*SIN(K$23*$E68+K$24)+K$22*COS(K$23*$E68+K$24) + K$25*SIN(K$27*$E68+K$28) + K$26*COS(K$27*$E68+K$28)</f>
        <v>0.000866502578752192</v>
      </c>
      <c r="L68" s="0" t="n">
        <f aca="false">L$8+L$9*SIN(L$11*$E68+L$12)+L$10*COS(L$11*$E68+L$12)+L$13*SIN(L$15*$E68+L$16)+L$14*COS(L$15*$E68+L$16)+L$17*SIN(L$19*$E68+L$20)+L$18*COS(L$19*$E68+L$20) + L$21*SIN(L$23*$E68+L$24)+L$22*COS(L$23*$E68+L$24) + L$25*SIN(L$27*$E68+L$28) + L$26*COS(L$27*$E68+L$28)</f>
        <v>0.000781040596057238</v>
      </c>
      <c r="M68" s="0" t="n">
        <f aca="false">M$8+M$9*SIN(M$11*$E68+M$12)+M$10*COS(M$11*$E68+M$12)+M$13*SIN(M$15*$E68+M$16)+M$14*COS(M$15*$E68+M$16)+M$17*SIN(M$19*$E68+M$20)+M$18*COS(M$19*$E68+M$20) + M$21*SIN(M$23*$E68+M$24)+M$22*COS(M$23*$E68+M$24) + M$25*SIN(M$27*$E68+M$28) + M$26*COS(M$27*$E68+M$28)</f>
        <v>0.000651455346529469</v>
      </c>
      <c r="N68" s="0" t="n">
        <f aca="false">N$8+N$9*SIN(N$11*$E68+N$12)+N$10*COS(N$11*$E68+N$12)+N$13*SIN(N$15*$E68+N$16)+N$14*COS(N$15*$E68+N$16)+N$17*SIN(N$19*$E68+N$20)+N$18*COS(N$19*$E68+N$20) + N$21*SIN(N$23*$E68+N$24)+N$22*COS(N$23*$E68+N$24) + N$25*SIN(N$27*$E68+N$28) + N$26*COS(N$27*$E68+N$28)</f>
        <v>0.000768395765207215</v>
      </c>
      <c r="O68" s="0" t="n">
        <f aca="false">O$8+O$9*SIN(O$11*$E68+O$12)+O$10*COS(O$11*$E68+O$12)+O$13*SIN(O$15*$E68+O$16)+O$14*COS(O$15*$E68+O$16)+O$17*SIN(O$19*$E68+O$20)+O$18*COS(O$19*$E68+O$20) + O$21*SIN(O$23*$E68+O$24)+O$22*COS(O$23*$E68+O$24) + O$25*SIN(O$27*$E68+O$28) + O$26*COS(O$27*$E68+O$28)</f>
        <v>0.000754863755518265</v>
      </c>
      <c r="P68" s="0" t="n">
        <f aca="false">P$8+P$9*SIN(P$11*$E68+P$12)+P$10*COS(P$11*$E68+P$12)+P$13*SIN(P$15*$E68+P$16)+P$14*COS(P$15*$E68+P$16)+P$17*SIN(P$19*$E68+P$20)+P$18*COS(P$19*$E68+P$20) + P$21*SIN(P$23*$E68+P$24)+P$22*COS(P$23*$E68+P$24) + P$25*SIN(P$27*$E68+P$28) + P$26*COS(P$27*$E68+P$28)</f>
        <v>0.000602715074043642</v>
      </c>
      <c r="Q68" s="0" t="n">
        <f aca="false">Q$8+Q$9*SIN(Q$11*$E68+Q$12)+Q$10*COS(Q$11*$E68+Q$12)+Q$13*SIN(Q$15*$E68+Q$16)+Q$14*COS(Q$15*$E68+Q$16)+Q$17*SIN(Q$19*$E68+Q$20)+Q$18*COS(Q$19*$E68+Q$20) + Q$21*SIN(Q$23*$E68+Q$24)+Q$22*COS(Q$23*$E68+Q$24) + Q$25*SIN(Q$27*$E68+Q$28) + Q$26*COS(Q$27*$E68+Q$28)</f>
        <v>0.000814262261926885</v>
      </c>
      <c r="R68" s="0" t="n">
        <f aca="false">R$8+R$9*SIN(R$11*$E68+R$12)+R$10*COS(R$11*$E68+R$12)+R$13*SIN(R$15*$E68+R$16)+R$14*COS(R$15*$E68+R$16)+R$17*SIN(R$19*$E68+R$20)+R$18*COS(R$19*$E68+R$20) + R$21*SIN(R$23*$E68+R$24)+R$22*COS(R$23*$E68+R$24) + R$25*SIN(R$27*$E68+R$28) + R$26*COS(R$27*$E68+R$28)</f>
        <v>0.000819347721168347</v>
      </c>
      <c r="S68" s="0" t="n">
        <f aca="false">S$8+S$9*SIN(S$11*$E68+S$12)+S$10*COS(S$11*$E68+S$12)+S$13*SIN(S$15*$E68+S$16)+S$14*COS(S$15*$E68+S$16)+S$17*SIN(S$19*$E68+S$20)+S$18*COS(S$19*$E68+S$20) + S$21*SIN(S$23*$E68+S$24)+S$22*COS(S$23*$E68+S$24) + S$25*SIN(S$27*$E68+S$28) + S$26*COS(S$27*$E68+S$28)</f>
        <v>0.000813877717606904</v>
      </c>
      <c r="T68" s="0" t="n">
        <f aca="false">T$8+T$9*SIN(T$11*$E68+T$12)+T$10*COS(T$11*$E68+T$12)+T$13*SIN(T$15*$E68+T$16)+T$14*COS(T$15*$E68+T$16)+T$17*SIN(T$19*$E68+T$20)+T$18*COS(T$19*$E68+T$20) + T$21*SIN(T$23*$E68+T$24)+T$22*COS(T$23*$E68+T$24) + T$25*SIN(T$27*$E68+T$28) + T$26*COS(T$27*$E68+T$28)</f>
        <v>0.000977525723667551</v>
      </c>
      <c r="U68" s="0" t="n">
        <f aca="false">U$8+U$9*SIN(U$11*$E68+U$12)+U$10*COS(U$11*$E68+U$12)+U$13*SIN(U$15*$E68+U$16)+U$14*COS(U$15*$E68+U$16)+U$17*SIN(U$19*$E68+U$20)+U$18*COS(U$19*$E68+U$20) + U$21*SIN(U$23*$E68+U$24)+U$22*COS(U$23*$E68+U$24) + U$25*SIN(U$27*$E68+U$28) + U$26*COS(U$27*$E68+U$28)</f>
        <v>0.000844333477265555</v>
      </c>
      <c r="V68" s="0" t="n">
        <f aca="false">V$8+V$9*SIN(V$11*$E68+V$12)+V$10*COS(V$11*$E68+V$12)+V$13*SIN(V$15*$E68+V$16)+V$14*COS(V$15*$E68+V$16)+V$17*SIN(V$19*$E68+V$20)+V$18*COS(V$19*$E68+V$20) + V$21*SIN(V$23*$E68+V$24)+V$22*COS(V$23*$E68+V$24) + V$25*SIN(V$27*$E68+V$28) + V$26*COS(V$27*$E68+V$28)</f>
        <v>0.000836278776017057</v>
      </c>
      <c r="W68" s="0" t="n">
        <f aca="false">W$8+W$9*SIN(W$11*$E68+W$12)+W$10*COS(W$11*$E68+W$12)+W$13*SIN(W$15*$E68+W$16)+W$14*COS(W$15*$E68+W$16)+W$17*SIN(W$19*$E68+W$20)+W$18*COS(W$19*$E68+W$20) + W$21*SIN(W$23*$E68+W$24)+W$22*COS(W$23*$E68+W$24) + W$25*SIN(W$27*$E68+W$28) + W$26*COS(W$27*$E68+W$28)</f>
        <v>0.000663821034201399</v>
      </c>
      <c r="X68" s="0" t="n">
        <f aca="false">X$8+X$9*SIN(X$11*$E68+X$12)+X$10*COS(X$11*$E68+X$12)+X$13*SIN(X$15*$E68+X$16)+X$14*COS(X$15*$E68+X$16)+X$17*SIN(X$19*$E68+X$20)+X$18*COS(X$19*$E68+X$20) + X$21*SIN(X$23*$E68+X$24)+X$22*COS(X$23*$E68+X$24) + X$25*SIN(X$27*$E68+X$28) + X$26*COS(X$27*$E68+X$28)</f>
        <v>0.000748058994548881</v>
      </c>
      <c r="Y68" s="0" t="n">
        <f aca="false">Y$8+Y$9*SIN(Y$11*$E68+Y$12)+Y$10*COS(Y$11*$E68+Y$12)+Y$13*SIN(Y$15*$E68+Y$16)+Y$14*COS(Y$15*$E68+Y$16)+Y$17*SIN(Y$19*$E68+Y$20)+Y$18*COS(Y$19*$E68+Y$20) + Y$21*SIN(Y$23*$E68+Y$24)+Y$22*COS(Y$23*$E68+Y$24) + Y$25*SIN(Y$27*$E68+Y$28) + Y$26*COS(Y$27*$E68+Y$28)</f>
        <v>0.000606305215146412</v>
      </c>
      <c r="Z68" s="0" t="n">
        <f aca="false">Z$8+Z$9*SIN(Z$11*$E68+Z$12)+Z$10*COS(Z$11*$E68+Z$12)+Z$13*SIN(Z$15*$E68+Z$16)+Z$14*COS(Z$15*$E68+Z$16)+Z$17*SIN(Z$19*$E68+Z$20)+Z$18*COS(Z$19*$E68+Z$20) + Z$21*SIN(Z$23*$E68+Z$24)+Z$22*COS(Z$23*$E68+Z$24) + Z$25*SIN(Z$27*$E68+Z$28) + Z$26*COS(Z$27*$E68+Z$28)</f>
        <v>0.000850676200417697</v>
      </c>
      <c r="AA68" s="0" t="n">
        <f aca="false">AA$8+AA$9*SIN(AA$11*$E68+AA$12)+AA$10*COS(AA$11*$E68+AA$12)+AA$13*SIN(AA$15*$E68+AA$16)+AA$14*COS(AA$15*$E68+AA$16)+AA$17*SIN(AA$19*$E68+AA$20)+AA$18*COS(AA$19*$E68+AA$20) + AA$21*SIN(AA$23*$E68+AA$24)+AA$22*COS(AA$23*$E68+AA$24) + AA$25*SIN(AA$27*$E68+AA$28) + AA$26*COS(AA$27*$E68+AA$28)</f>
        <v>0.000717147427266243</v>
      </c>
      <c r="AB68" s="0" t="n">
        <f aca="false">AB$8+AB$9*SIN(AB$11*$E68+AB$12)+AB$10*COS(AB$11*$E68+AB$12)+AB$13*SIN(AB$15*$E68+AB$16)+AB$14*COS(AB$15*$E68+AB$16)+AB$17*SIN(AB$19*$E68+AB$20)+AB$18*COS(AB$19*$E68+AB$20) + AB$21*SIN(AB$23*$E68+AB$24)+AB$22*COS(AB$23*$E68+AB$24) + AB$25*SIN(AB$27*$E68+AB$28) + AB$26*COS(AB$27*$E68+AB$28)</f>
        <v>0.000689668650244312</v>
      </c>
      <c r="AC68" s="0" t="n">
        <f aca="false">AC$8+AC$9*SIN(AC$11*$E68+AC$12)+AC$10*COS(AC$11*$E68+AC$12)+AC$13*SIN(AC$15*$E68+AC$16)+AC$14*COS(AC$15*$E68+AC$16)+AC$17*SIN(AC$19*$E68+AC$20)+AC$18*COS(AC$19*$E68+AC$20) + AC$21*SIN(AC$23*$E68+AC$24)+AC$22*COS(AC$23*$E68+AC$24) + AC$25*SIN(AC$27*$E68+AC$28) + AC$26*COS(AC$27*$E68+AC$28)</f>
        <v>0.000780657133541834</v>
      </c>
      <c r="AJ68" s="5" t="n">
        <v>2.151</v>
      </c>
      <c r="AK68" s="5" t="n">
        <v>0.908</v>
      </c>
      <c r="AL68" s="5" t="n">
        <v>2</v>
      </c>
      <c r="AM68" s="5" t="n">
        <v>7.115</v>
      </c>
      <c r="AN68" s="5" t="n">
        <v>0</v>
      </c>
      <c r="AO68" s="5" t="n">
        <v>4.125</v>
      </c>
    </row>
    <row r="69" customFormat="false" ht="15" hidden="false" customHeight="false" outlineLevel="0" collapsed="false">
      <c r="E69" s="0" t="n">
        <v>22</v>
      </c>
      <c r="F69" s="0" t="n">
        <f aca="false">F$8+F$9*SIN(F$11*$E69+F$12)+F$10*COS(F$11*$E69+F$12)+F$13*SIN(F$15*$E69+F$16)+F$14*COS(F$15*$E69+F$16)+F$17*SIN(F$19*$E69+F$20)+F$18*COS(F$19*$E69+F$20) + F$21*SIN(F$23*$E69+F$24)+F$22*COS(F$23*$E69+F$24) + F$25*SIN(F$27*$E69+F$28) + F$26*COS(F$27*$E69+F$28)</f>
        <v>0.000989943222067303</v>
      </c>
      <c r="G69" s="0" t="n">
        <f aca="false">G$8+G$9*SIN(G$11*$E69+G$12)+G$10*COS(G$11*$E69+G$12)+G$13*SIN(G$15*$E69+G$16)+G$14*COS(G$15*$E69+G$16)+G$17*SIN(G$19*$E69+G$20)+G$18*COS(G$19*$E69+G$20) + G$21*SIN(G$23*$E69+G$24)+G$22*COS(G$23*$E69+G$24) + G$25*SIN(G$27*$E69+G$28) + G$26*COS(G$27*$E69+G$28)</f>
        <v>0.000919892414742341</v>
      </c>
      <c r="H69" s="0" t="n">
        <f aca="false">H$8+H$9*SIN(H$11*$E69+H$12)+H$10*COS(H$11*$E69+H$12)+H$13*SIN(H$15*$E69+H$16)+H$14*COS(H$15*$E69+H$16)+H$17*SIN(H$19*$E69+H$20)+H$18*COS(H$19*$E69+H$20) + H$21*SIN(H$23*$E69+H$24)+H$22*COS(H$23*$E69+H$24) + H$25*SIN(H$27*$E69+H$28) + H$26*COS(H$27*$E69+H$28)</f>
        <v>0.00109170879832804</v>
      </c>
      <c r="I69" s="0" t="n">
        <f aca="false">I$8+I$9*SIN(I$11*$E69+I$12)+I$10*COS(I$11*$E69+I$12)+I$13*SIN(I$15*$E69+I$16)+I$14*COS(I$15*$E69+I$16)+I$17*SIN(I$19*$E69+I$20)+I$18*COS(I$19*$E69+I$20) + I$21*SIN(I$23*$E69+I$24)+I$22*COS(I$23*$E69+I$24) + I$25*SIN(I$27*$E69+I$28) + I$26*COS(I$27*$E69+I$28)</f>
        <v>0.000929065274117201</v>
      </c>
      <c r="J69" s="0" t="n">
        <f aca="false">J$8+J$9*SIN(J$11*$E69+J$12)+J$10*COS(J$11*$E69+J$12)+J$13*SIN(J$15*$E69+J$16)+J$14*COS(J$15*$E69+J$16)+J$17*SIN(J$19*$E69+J$20)+J$18*COS(J$19*$E69+J$20) + J$21*SIN(J$23*$E69+J$24)+J$22*COS(J$23*$E69+J$24) + J$25*SIN(J$27*$E69+J$28) + J$26*COS(J$27*$E69+J$28)</f>
        <v>0.000819319992148189</v>
      </c>
      <c r="K69" s="0" t="n">
        <f aca="false">K$8+K$9*SIN(K$11*$E69+K$12)+K$10*COS(K$11*$E69+K$12)+K$13*SIN(K$15*$E69+K$16)+K$14*COS(K$15*$E69+K$16)+K$17*SIN(K$19*$E69+K$20)+K$18*COS(K$19*$E69+K$20) + K$21*SIN(K$23*$E69+K$24)+K$22*COS(K$23*$E69+K$24) + K$25*SIN(K$27*$E69+K$28) + K$26*COS(K$27*$E69+K$28)</f>
        <v>0.000781801549528889</v>
      </c>
      <c r="L69" s="0" t="n">
        <f aca="false">L$8+L$9*SIN(L$11*$E69+L$12)+L$10*COS(L$11*$E69+L$12)+L$13*SIN(L$15*$E69+L$16)+L$14*COS(L$15*$E69+L$16)+L$17*SIN(L$19*$E69+L$20)+L$18*COS(L$19*$E69+L$20) + L$21*SIN(L$23*$E69+L$24)+L$22*COS(L$23*$E69+L$24) + L$25*SIN(L$27*$E69+L$28) + L$26*COS(L$27*$E69+L$28)</f>
        <v>0.000732747614488756</v>
      </c>
      <c r="M69" s="0" t="n">
        <f aca="false">M$8+M$9*SIN(M$11*$E69+M$12)+M$10*COS(M$11*$E69+M$12)+M$13*SIN(M$15*$E69+M$16)+M$14*COS(M$15*$E69+M$16)+M$17*SIN(M$19*$E69+M$20)+M$18*COS(M$19*$E69+M$20) + M$21*SIN(M$23*$E69+M$24)+M$22*COS(M$23*$E69+M$24) + M$25*SIN(M$27*$E69+M$28) + M$26*COS(M$27*$E69+M$28)</f>
        <v>0.000637193075535706</v>
      </c>
      <c r="N69" s="0" t="n">
        <f aca="false">N$8+N$9*SIN(N$11*$E69+N$12)+N$10*COS(N$11*$E69+N$12)+N$13*SIN(N$15*$E69+N$16)+N$14*COS(N$15*$E69+N$16)+N$17*SIN(N$19*$E69+N$20)+N$18*COS(N$19*$E69+N$20) + N$21*SIN(N$23*$E69+N$24)+N$22*COS(N$23*$E69+N$24) + N$25*SIN(N$27*$E69+N$28) + N$26*COS(N$27*$E69+N$28)</f>
        <v>0.000709167598455778</v>
      </c>
      <c r="O69" s="0" t="n">
        <f aca="false">O$8+O$9*SIN(O$11*$E69+O$12)+O$10*COS(O$11*$E69+O$12)+O$13*SIN(O$15*$E69+O$16)+O$14*COS(O$15*$E69+O$16)+O$17*SIN(O$19*$E69+O$20)+O$18*COS(O$19*$E69+O$20) + O$21*SIN(O$23*$E69+O$24)+O$22*COS(O$23*$E69+O$24) + O$25*SIN(O$27*$E69+O$28) + O$26*COS(O$27*$E69+O$28)</f>
        <v>0.000752238329993453</v>
      </c>
      <c r="P69" s="0" t="n">
        <f aca="false">P$8+P$9*SIN(P$11*$E69+P$12)+P$10*COS(P$11*$E69+P$12)+P$13*SIN(P$15*$E69+P$16)+P$14*COS(P$15*$E69+P$16)+P$17*SIN(P$19*$E69+P$20)+P$18*COS(P$19*$E69+P$20) + P$21*SIN(P$23*$E69+P$24)+P$22*COS(P$23*$E69+P$24) + P$25*SIN(P$27*$E69+P$28) + P$26*COS(P$27*$E69+P$28)</f>
        <v>0.000625908167525266</v>
      </c>
      <c r="Q69" s="0" t="n">
        <f aca="false">Q$8+Q$9*SIN(Q$11*$E69+Q$12)+Q$10*COS(Q$11*$E69+Q$12)+Q$13*SIN(Q$15*$E69+Q$16)+Q$14*COS(Q$15*$E69+Q$16)+Q$17*SIN(Q$19*$E69+Q$20)+Q$18*COS(Q$19*$E69+Q$20) + Q$21*SIN(Q$23*$E69+Q$24)+Q$22*COS(Q$23*$E69+Q$24) + Q$25*SIN(Q$27*$E69+Q$28) + Q$26*COS(Q$27*$E69+Q$28)</f>
        <v>0.000770426058129504</v>
      </c>
      <c r="R69" s="0" t="n">
        <f aca="false">R$8+R$9*SIN(R$11*$E69+R$12)+R$10*COS(R$11*$E69+R$12)+R$13*SIN(R$15*$E69+R$16)+R$14*COS(R$15*$E69+R$16)+R$17*SIN(R$19*$E69+R$20)+R$18*COS(R$19*$E69+R$20) + R$21*SIN(R$23*$E69+R$24)+R$22*COS(R$23*$E69+R$24) + R$25*SIN(R$27*$E69+R$28) + R$26*COS(R$27*$E69+R$28)</f>
        <v>0.00081932529380731</v>
      </c>
      <c r="S69" s="0" t="n">
        <f aca="false">S$8+S$9*SIN(S$11*$E69+S$12)+S$10*COS(S$11*$E69+S$12)+S$13*SIN(S$15*$E69+S$16)+S$14*COS(S$15*$E69+S$16)+S$17*SIN(S$19*$E69+S$20)+S$18*COS(S$19*$E69+S$20) + S$21*SIN(S$23*$E69+S$24)+S$22*COS(S$23*$E69+S$24) + S$25*SIN(S$27*$E69+S$28) + S$26*COS(S$27*$E69+S$28)</f>
        <v>0.00076987411581376</v>
      </c>
      <c r="T69" s="0" t="n">
        <f aca="false">T$8+T$9*SIN(T$11*$E69+T$12)+T$10*COS(T$11*$E69+T$12)+T$13*SIN(T$15*$E69+T$16)+T$14*COS(T$15*$E69+T$16)+T$17*SIN(T$19*$E69+T$20)+T$18*COS(T$19*$E69+T$20) + T$21*SIN(T$23*$E69+T$24)+T$22*COS(T$23*$E69+T$24) + T$25*SIN(T$27*$E69+T$28) + T$26*COS(T$27*$E69+T$28)</f>
        <v>0.000923395788578947</v>
      </c>
      <c r="U69" s="0" t="n">
        <f aca="false">U$8+U$9*SIN(U$11*$E69+U$12)+U$10*COS(U$11*$E69+U$12)+U$13*SIN(U$15*$E69+U$16)+U$14*COS(U$15*$E69+U$16)+U$17*SIN(U$19*$E69+U$20)+U$18*COS(U$19*$E69+U$20) + U$21*SIN(U$23*$E69+U$24)+U$22*COS(U$23*$E69+U$24) + U$25*SIN(U$27*$E69+U$28) + U$26*COS(U$27*$E69+U$28)</f>
        <v>0.000809344808045332</v>
      </c>
      <c r="V69" s="0" t="n">
        <f aca="false">V$8+V$9*SIN(V$11*$E69+V$12)+V$10*COS(V$11*$E69+V$12)+V$13*SIN(V$15*$E69+V$16)+V$14*COS(V$15*$E69+V$16)+V$17*SIN(V$19*$E69+V$20)+V$18*COS(V$19*$E69+V$20) + V$21*SIN(V$23*$E69+V$24)+V$22*COS(V$23*$E69+V$24) + V$25*SIN(V$27*$E69+V$28) + V$26*COS(V$27*$E69+V$28)</f>
        <v>0.000774210624619132</v>
      </c>
      <c r="W69" s="0" t="n">
        <f aca="false">W$8+W$9*SIN(W$11*$E69+W$12)+W$10*COS(W$11*$E69+W$12)+W$13*SIN(W$15*$E69+W$16)+W$14*COS(W$15*$E69+W$16)+W$17*SIN(W$19*$E69+W$20)+W$18*COS(W$19*$E69+W$20) + W$21*SIN(W$23*$E69+W$24)+W$22*COS(W$23*$E69+W$24) + W$25*SIN(W$27*$E69+W$28) + W$26*COS(W$27*$E69+W$28)</f>
        <v>0.000689098642456943</v>
      </c>
      <c r="X69" s="0" t="n">
        <f aca="false">X$8+X$9*SIN(X$11*$E69+X$12)+X$10*COS(X$11*$E69+X$12)+X$13*SIN(X$15*$E69+X$16)+X$14*COS(X$15*$E69+X$16)+X$17*SIN(X$19*$E69+X$20)+X$18*COS(X$19*$E69+X$20) + X$21*SIN(X$23*$E69+X$24)+X$22*COS(X$23*$E69+X$24) + X$25*SIN(X$27*$E69+X$28) + X$26*COS(X$27*$E69+X$28)</f>
        <v>0.000710086902254457</v>
      </c>
      <c r="Y69" s="0" t="n">
        <f aca="false">Y$8+Y$9*SIN(Y$11*$E69+Y$12)+Y$10*COS(Y$11*$E69+Y$12)+Y$13*SIN(Y$15*$E69+Y$16)+Y$14*COS(Y$15*$E69+Y$16)+Y$17*SIN(Y$19*$E69+Y$20)+Y$18*COS(Y$19*$E69+Y$20) + Y$21*SIN(Y$23*$E69+Y$24)+Y$22*COS(Y$23*$E69+Y$24) + Y$25*SIN(Y$27*$E69+Y$28) + Y$26*COS(Y$27*$E69+Y$28)</f>
        <v>0.000595957465303135</v>
      </c>
      <c r="Z69" s="0" t="n">
        <f aca="false">Z$8+Z$9*SIN(Z$11*$E69+Z$12)+Z$10*COS(Z$11*$E69+Z$12)+Z$13*SIN(Z$15*$E69+Z$16)+Z$14*COS(Z$15*$E69+Z$16)+Z$17*SIN(Z$19*$E69+Z$20)+Z$18*COS(Z$19*$E69+Z$20) + Z$21*SIN(Z$23*$E69+Z$24)+Z$22*COS(Z$23*$E69+Z$24) + Z$25*SIN(Z$27*$E69+Z$28) + Z$26*COS(Z$27*$E69+Z$28)</f>
        <v>0.000841814368515622</v>
      </c>
      <c r="AA69" s="0" t="n">
        <f aca="false">AA$8+AA$9*SIN(AA$11*$E69+AA$12)+AA$10*COS(AA$11*$E69+AA$12)+AA$13*SIN(AA$15*$E69+AA$16)+AA$14*COS(AA$15*$E69+AA$16)+AA$17*SIN(AA$19*$E69+AA$20)+AA$18*COS(AA$19*$E69+AA$20) + AA$21*SIN(AA$23*$E69+AA$24)+AA$22*COS(AA$23*$E69+AA$24) + AA$25*SIN(AA$27*$E69+AA$28) + AA$26*COS(AA$27*$E69+AA$28)</f>
        <v>0.000717073845021854</v>
      </c>
      <c r="AB69" s="0" t="n">
        <f aca="false">AB$8+AB$9*SIN(AB$11*$E69+AB$12)+AB$10*COS(AB$11*$E69+AB$12)+AB$13*SIN(AB$15*$E69+AB$16)+AB$14*COS(AB$15*$E69+AB$16)+AB$17*SIN(AB$19*$E69+AB$20)+AB$18*COS(AB$19*$E69+AB$20) + AB$21*SIN(AB$23*$E69+AB$24)+AB$22*COS(AB$23*$E69+AB$24) + AB$25*SIN(AB$27*$E69+AB$28) + AB$26*COS(AB$27*$E69+AB$28)</f>
        <v>0.000700833519252872</v>
      </c>
      <c r="AC69" s="0" t="n">
        <f aca="false">AC$8+AC$9*SIN(AC$11*$E69+AC$12)+AC$10*COS(AC$11*$E69+AC$12)+AC$13*SIN(AC$15*$E69+AC$16)+AC$14*COS(AC$15*$E69+AC$16)+AC$17*SIN(AC$19*$E69+AC$20)+AC$18*COS(AC$19*$E69+AC$20) + AC$21*SIN(AC$23*$E69+AC$24)+AC$22*COS(AC$23*$E69+AC$24) + AC$25*SIN(AC$27*$E69+AC$28) + AC$26*COS(AC$27*$E69+AC$28)</f>
        <v>0.000746129635140556</v>
      </c>
    </row>
    <row r="70" customFormat="false" ht="15" hidden="false" customHeight="false" outlineLevel="0" collapsed="false">
      <c r="E70" s="0" t="n">
        <v>23</v>
      </c>
      <c r="F70" s="0" t="n">
        <f aca="false">F$8+F$9*SIN(F$11*$E70+F$12)+F$10*COS(F$11*$E70+F$12)+F$13*SIN(F$15*$E70+F$16)+F$14*COS(F$15*$E70+F$16)+F$17*SIN(F$19*$E70+F$20)+F$18*COS(F$19*$E70+F$20) + F$21*SIN(F$23*$E70+F$24)+F$22*COS(F$23*$E70+F$24) + F$25*SIN(F$27*$E70+F$28) + F$26*COS(F$27*$E70+F$28)</f>
        <v>0.000912855763506403</v>
      </c>
      <c r="G70" s="0" t="n">
        <f aca="false">G$8+G$9*SIN(G$11*$E70+G$12)+G$10*COS(G$11*$E70+G$12)+G$13*SIN(G$15*$E70+G$16)+G$14*COS(G$15*$E70+G$16)+G$17*SIN(G$19*$E70+G$20)+G$18*COS(G$19*$E70+G$20) + G$21*SIN(G$23*$E70+G$24)+G$22*COS(G$23*$E70+G$24) + G$25*SIN(G$27*$E70+G$28) + G$26*COS(G$27*$E70+G$28)</f>
        <v>0.000881913324938038</v>
      </c>
      <c r="H70" s="0" t="n">
        <f aca="false">H$8+H$9*SIN(H$11*$E70+H$12)+H$10*COS(H$11*$E70+H$12)+H$13*SIN(H$15*$E70+H$16)+H$14*COS(H$15*$E70+H$16)+H$17*SIN(H$19*$E70+H$20)+H$18*COS(H$19*$E70+H$20) + H$21*SIN(H$23*$E70+H$24)+H$22*COS(H$23*$E70+H$24) + H$25*SIN(H$27*$E70+H$28) + H$26*COS(H$27*$E70+H$28)</f>
        <v>0.00100669395124338</v>
      </c>
      <c r="I70" s="0" t="n">
        <f aca="false">I$8+I$9*SIN(I$11*$E70+I$12)+I$10*COS(I$11*$E70+I$12)+I$13*SIN(I$15*$E70+I$16)+I$14*COS(I$15*$E70+I$16)+I$17*SIN(I$19*$E70+I$20)+I$18*COS(I$19*$E70+I$20) + I$21*SIN(I$23*$E70+I$24)+I$22*COS(I$23*$E70+I$24) + I$25*SIN(I$27*$E70+I$28) + I$26*COS(I$27*$E70+I$28)</f>
        <v>0.00086788494426788</v>
      </c>
      <c r="J70" s="0" t="n">
        <f aca="false">J$8+J$9*SIN(J$11*$E70+J$12)+J$10*COS(J$11*$E70+J$12)+J$13*SIN(J$15*$E70+J$16)+J$14*COS(J$15*$E70+J$16)+J$17*SIN(J$19*$E70+J$20)+J$18*COS(J$19*$E70+J$20) + J$21*SIN(J$23*$E70+J$24)+J$22*COS(J$23*$E70+J$24) + J$25*SIN(J$27*$E70+J$28) + J$26*COS(J$27*$E70+J$28)</f>
        <v>0.000819306398025093</v>
      </c>
      <c r="K70" s="0" t="n">
        <f aca="false">K$8+K$9*SIN(K$11*$E70+K$12)+K$10*COS(K$11*$E70+K$12)+K$13*SIN(K$15*$E70+K$16)+K$14*COS(K$15*$E70+K$16)+K$17*SIN(K$19*$E70+K$20)+K$18*COS(K$19*$E70+K$20) + K$21*SIN(K$23*$E70+K$24)+K$22*COS(K$23*$E70+K$24) + K$25*SIN(K$27*$E70+K$28) + K$26*COS(K$27*$E70+K$28)</f>
        <v>0.000724178133462228</v>
      </c>
      <c r="L70" s="0" t="n">
        <f aca="false">L$8+L$9*SIN(L$11*$E70+L$12)+L$10*COS(L$11*$E70+L$12)+L$13*SIN(L$15*$E70+L$16)+L$14*COS(L$15*$E70+L$16)+L$17*SIN(L$19*$E70+L$20)+L$18*COS(L$19*$E70+L$20) + L$21*SIN(L$23*$E70+L$24)+L$22*COS(L$23*$E70+L$24) + L$25*SIN(L$27*$E70+L$28) + L$26*COS(L$27*$E70+L$28)</f>
        <v>0.000710796646254597</v>
      </c>
      <c r="M70" s="0" t="n">
        <f aca="false">M$8+M$9*SIN(M$11*$E70+M$12)+M$10*COS(M$11*$E70+M$12)+M$13*SIN(M$15*$E70+M$16)+M$14*COS(M$15*$E70+M$16)+M$17*SIN(M$19*$E70+M$20)+M$18*COS(M$19*$E70+M$20) + M$21*SIN(M$23*$E70+M$24)+M$22*COS(M$23*$E70+M$24) + M$25*SIN(M$27*$E70+M$28) + M$26*COS(M$27*$E70+M$28)</f>
        <v>0.000640797871852304</v>
      </c>
      <c r="N70" s="0" t="n">
        <f aca="false">N$8+N$9*SIN(N$11*$E70+N$12)+N$10*COS(N$11*$E70+N$12)+N$13*SIN(N$15*$E70+N$16)+N$14*COS(N$15*$E70+N$16)+N$17*SIN(N$19*$E70+N$20)+N$18*COS(N$19*$E70+N$20) + N$21*SIN(N$23*$E70+N$24)+N$22*COS(N$23*$E70+N$24) + N$25*SIN(N$27*$E70+N$28) + N$26*COS(N$27*$E70+N$28)</f>
        <v>0.000712502653463439</v>
      </c>
      <c r="O70" s="0" t="n">
        <f aca="false">O$8+O$9*SIN(O$11*$E70+O$12)+O$10*COS(O$11*$E70+O$12)+O$13*SIN(O$15*$E70+O$16)+O$14*COS(O$15*$E70+O$16)+O$17*SIN(O$19*$E70+O$20)+O$18*COS(O$19*$E70+O$20) + O$21*SIN(O$23*$E70+O$24)+O$22*COS(O$23*$E70+O$24) + O$25*SIN(O$27*$E70+O$28) + O$26*COS(O$27*$E70+O$28)</f>
        <v>0.000719334060741651</v>
      </c>
      <c r="P70" s="0" t="n">
        <f aca="false">P$8+P$9*SIN(P$11*$E70+P$12)+P$10*COS(P$11*$E70+P$12)+P$13*SIN(P$15*$E70+P$16)+P$14*COS(P$15*$E70+P$16)+P$17*SIN(P$19*$E70+P$20)+P$18*COS(P$19*$E70+P$20) + P$21*SIN(P$23*$E70+P$24)+P$22*COS(P$23*$E70+P$24) + P$25*SIN(P$27*$E70+P$28) + P$26*COS(P$27*$E70+P$28)</f>
        <v>0.000651069463295695</v>
      </c>
      <c r="Q70" s="0" t="n">
        <f aca="false">Q$8+Q$9*SIN(Q$11*$E70+Q$12)+Q$10*COS(Q$11*$E70+Q$12)+Q$13*SIN(Q$15*$E70+Q$16)+Q$14*COS(Q$15*$E70+Q$16)+Q$17*SIN(Q$19*$E70+Q$20)+Q$18*COS(Q$19*$E70+Q$20) + Q$21*SIN(Q$23*$E70+Q$24)+Q$22*COS(Q$23*$E70+Q$24) + Q$25*SIN(Q$27*$E70+Q$28) + Q$26*COS(Q$27*$E70+Q$28)</f>
        <v>0.000733468245684906</v>
      </c>
      <c r="R70" s="0" t="n">
        <f aca="false">R$8+R$9*SIN(R$11*$E70+R$12)+R$10*COS(R$11*$E70+R$12)+R$13*SIN(R$15*$E70+R$16)+R$14*COS(R$15*$E70+R$16)+R$17*SIN(R$19*$E70+R$20)+R$18*COS(R$19*$E70+R$20) + R$21*SIN(R$23*$E70+R$24)+R$22*COS(R$23*$E70+R$24) + R$25*SIN(R$27*$E70+R$28) + R$26*COS(R$27*$E70+R$28)</f>
        <v>0.000819304687277559</v>
      </c>
      <c r="S70" s="0" t="n">
        <f aca="false">S$8+S$9*SIN(S$11*$E70+S$12)+S$10*COS(S$11*$E70+S$12)+S$13*SIN(S$15*$E70+S$16)+S$14*COS(S$15*$E70+S$16)+S$17*SIN(S$19*$E70+S$20)+S$18*COS(S$19*$E70+S$20) + S$21*SIN(S$23*$E70+S$24)+S$22*COS(S$23*$E70+S$24) + S$25*SIN(S$27*$E70+S$28) + S$26*COS(S$27*$E70+S$28)</f>
        <v>0.000717767313747664</v>
      </c>
      <c r="T70" s="0" t="n">
        <f aca="false">T$8+T$9*SIN(T$11*$E70+T$12)+T$10*COS(T$11*$E70+T$12)+T$13*SIN(T$15*$E70+T$16)+T$14*COS(T$15*$E70+T$16)+T$17*SIN(T$19*$E70+T$20)+T$18*COS(T$19*$E70+T$20) + T$21*SIN(T$23*$E70+T$24)+T$22*COS(T$23*$E70+T$24) + T$25*SIN(T$27*$E70+T$28) + T$26*COS(T$27*$E70+T$28)</f>
        <v>0.000849832830137632</v>
      </c>
      <c r="U70" s="0" t="n">
        <f aca="false">U$8+U$9*SIN(U$11*$E70+U$12)+U$10*COS(U$11*$E70+U$12)+U$13*SIN(U$15*$E70+U$16)+U$14*COS(U$15*$E70+U$16)+U$17*SIN(U$19*$E70+U$20)+U$18*COS(U$19*$E70+U$20) + U$21*SIN(U$23*$E70+U$24)+U$22*COS(U$23*$E70+U$24) + U$25*SIN(U$27*$E70+U$28) + U$26*COS(U$27*$E70+U$28)</f>
        <v>0.000765564986628698</v>
      </c>
      <c r="V70" s="0" t="n">
        <f aca="false">V$8+V$9*SIN(V$11*$E70+V$12)+V$10*COS(V$11*$E70+V$12)+V$13*SIN(V$15*$E70+V$16)+V$14*COS(V$15*$E70+V$16)+V$17*SIN(V$19*$E70+V$20)+V$18*COS(V$19*$E70+V$20) + V$21*SIN(V$23*$E70+V$24)+V$22*COS(V$23*$E70+V$24) + V$25*SIN(V$27*$E70+V$28) + V$26*COS(V$27*$E70+V$28)</f>
        <v>0.000702613032286697</v>
      </c>
      <c r="W70" s="0" t="n">
        <f aca="false">W$8+W$9*SIN(W$11*$E70+W$12)+W$10*COS(W$11*$E70+W$12)+W$13*SIN(W$15*$E70+W$16)+W$14*COS(W$15*$E70+W$16)+W$17*SIN(W$19*$E70+W$20)+W$18*COS(W$19*$E70+W$20) + W$21*SIN(W$23*$E70+W$24)+W$22*COS(W$23*$E70+W$24) + W$25*SIN(W$27*$E70+W$28) + W$26*COS(W$27*$E70+W$28)</f>
        <v>0.000657923458014361</v>
      </c>
      <c r="X70" s="0" t="n">
        <f aca="false">X$8+X$9*SIN(X$11*$E70+X$12)+X$10*COS(X$11*$E70+X$12)+X$13*SIN(X$15*$E70+X$16)+X$14*COS(X$15*$E70+X$16)+X$17*SIN(X$19*$E70+X$20)+X$18*COS(X$19*$E70+X$20) + X$21*SIN(X$23*$E70+X$24)+X$22*COS(X$23*$E70+X$24) + X$25*SIN(X$27*$E70+X$28) + X$26*COS(X$27*$E70+X$28)</f>
        <v>0.000668193104538105</v>
      </c>
      <c r="Y70" s="0" t="n">
        <f aca="false">Y$8+Y$9*SIN(Y$11*$E70+Y$12)+Y$10*COS(Y$11*$E70+Y$12)+Y$13*SIN(Y$15*$E70+Y$16)+Y$14*COS(Y$15*$E70+Y$16)+Y$17*SIN(Y$19*$E70+Y$20)+Y$18*COS(Y$19*$E70+Y$20) + Y$21*SIN(Y$23*$E70+Y$24)+Y$22*COS(Y$23*$E70+Y$24) + Y$25*SIN(Y$27*$E70+Y$28) + Y$26*COS(Y$27*$E70+Y$28)</f>
        <v>0.000617175034524636</v>
      </c>
      <c r="Z70" s="0" t="n">
        <f aca="false">Z$8+Z$9*SIN(Z$11*$E70+Z$12)+Z$10*COS(Z$11*$E70+Z$12)+Z$13*SIN(Z$15*$E70+Z$16)+Z$14*COS(Z$15*$E70+Z$16)+Z$17*SIN(Z$19*$E70+Z$20)+Z$18*COS(Z$19*$E70+Z$20) + Z$21*SIN(Z$23*$E70+Z$24)+Z$22*COS(Z$23*$E70+Z$24) + Z$25*SIN(Z$27*$E70+Z$28) + Z$26*COS(Z$27*$E70+Z$28)</f>
        <v>0.000815458897106287</v>
      </c>
      <c r="AA70" s="0" t="n">
        <f aca="false">AA$8+AA$9*SIN(AA$11*$E70+AA$12)+AA$10*COS(AA$11*$E70+AA$12)+AA$13*SIN(AA$15*$E70+AA$16)+AA$14*COS(AA$15*$E70+AA$16)+AA$17*SIN(AA$19*$E70+AA$20)+AA$18*COS(AA$19*$E70+AA$20) + AA$21*SIN(AA$23*$E70+AA$24)+AA$22*COS(AA$23*$E70+AA$24) + AA$25*SIN(AA$27*$E70+AA$28) + AA$26*COS(AA$27*$E70+AA$28)</f>
        <v>0.000717066272668576</v>
      </c>
      <c r="AB70" s="0" t="n">
        <f aca="false">AB$8+AB$9*SIN(AB$11*$E70+AB$12)+AB$10*COS(AB$11*$E70+AB$12)+AB$13*SIN(AB$15*$E70+AB$16)+AB$14*COS(AB$15*$E70+AB$16)+AB$17*SIN(AB$19*$E70+AB$20)+AB$18*COS(AB$19*$E70+AB$20) + AB$21*SIN(AB$23*$E70+AB$24)+AB$22*COS(AB$23*$E70+AB$24) + AB$25*SIN(AB$27*$E70+AB$28) + AB$26*COS(AB$27*$E70+AB$28)</f>
        <v>0.000713265059950042</v>
      </c>
      <c r="AC70" s="0" t="n">
        <f aca="false">AC$8+AC$9*SIN(AC$11*$E70+AC$12)+AC$10*COS(AC$11*$E70+AC$12)+AC$13*SIN(AC$15*$E70+AC$16)+AC$14*COS(AC$15*$E70+AC$16)+AC$17*SIN(AC$19*$E70+AC$20)+AC$18*COS(AC$19*$E70+AC$20) + AC$21*SIN(AC$23*$E70+AC$24)+AC$22*COS(AC$23*$E70+AC$24) + AC$25*SIN(AC$27*$E70+AC$28) + AC$26*COS(AC$27*$E70+AC$28)</f>
        <v>0.000742345047520378</v>
      </c>
    </row>
    <row r="71" customFormat="false" ht="15" hidden="false" customHeight="false" outlineLevel="0" collapsed="false">
      <c r="E71" s="0" t="n">
        <v>24</v>
      </c>
      <c r="F71" s="0" t="n">
        <f aca="false">F$8+F$9*SIN(F$11*$E71+F$12)+F$10*COS(F$11*$E71+F$12)+F$13*SIN(F$15*$E71+F$16)+F$14*COS(F$15*$E71+F$16)+F$17*SIN(F$19*$E71+F$20)+F$18*COS(F$19*$E71+F$20) + F$21*SIN(F$23*$E71+F$24)+F$22*COS(F$23*$E71+F$24) + F$25*SIN(F$27*$E71+F$28) + F$26*COS(F$27*$E71+F$28)</f>
        <v>0.000845369151070954</v>
      </c>
      <c r="G71" s="0" t="n">
        <f aca="false">G$8+G$9*SIN(G$11*$E71+G$12)+G$10*COS(G$11*$E71+G$12)+G$13*SIN(G$15*$E71+G$16)+G$14*COS(G$15*$E71+G$16)+G$17*SIN(G$19*$E71+G$20)+G$18*COS(G$19*$E71+G$20) + G$21*SIN(G$23*$E71+G$24)+G$22*COS(G$23*$E71+G$24) + G$25*SIN(G$27*$E71+G$28) + G$26*COS(G$27*$E71+G$28)</f>
        <v>0.000817010616193481</v>
      </c>
      <c r="H71" s="0" t="n">
        <f aca="false">H$8+H$9*SIN(H$11*$E71+H$12)+H$10*COS(H$11*$E71+H$12)+H$13*SIN(H$15*$E71+H$16)+H$14*COS(H$15*$E71+H$16)+H$17*SIN(H$19*$E71+H$20)+H$18*COS(H$19*$E71+H$20) + H$21*SIN(H$23*$E71+H$24)+H$22*COS(H$23*$E71+H$24) + H$25*SIN(H$27*$E71+H$28) + H$26*COS(H$27*$E71+H$28)</f>
        <v>0.000921740825104521</v>
      </c>
      <c r="I71" s="0" t="n">
        <f aca="false">I$8+I$9*SIN(I$11*$E71+I$12)+I$10*COS(I$11*$E71+I$12)+I$13*SIN(I$15*$E71+I$16)+I$14*COS(I$15*$E71+I$16)+I$17*SIN(I$19*$E71+I$20)+I$18*COS(I$19*$E71+I$20) + I$21*SIN(I$23*$E71+I$24)+I$22*COS(I$23*$E71+I$24) + I$25*SIN(I$27*$E71+I$28) + I$26*COS(I$27*$E71+I$28)</f>
        <v>0.000823746591666949</v>
      </c>
      <c r="J71" s="0" t="n">
        <f aca="false">J$8+J$9*SIN(J$11*$E71+J$12)+J$10*COS(J$11*$E71+J$12)+J$13*SIN(J$15*$E71+J$16)+J$14*COS(J$15*$E71+J$16)+J$17*SIN(J$19*$E71+J$20)+J$18*COS(J$19*$E71+J$20) + J$21*SIN(J$23*$E71+J$24)+J$22*COS(J$23*$E71+J$24) + J$25*SIN(J$27*$E71+J$28) + J$26*COS(J$27*$E71+J$28)</f>
        <v>0.000819297294722573</v>
      </c>
      <c r="K71" s="0" t="n">
        <f aca="false">K$8+K$9*SIN(K$11*$E71+K$12)+K$10*COS(K$11*$E71+K$12)+K$13*SIN(K$15*$E71+K$16)+K$14*COS(K$15*$E71+K$16)+K$17*SIN(K$19*$E71+K$20)+K$18*COS(K$19*$E71+K$20) + K$21*SIN(K$23*$E71+K$24)+K$22*COS(K$23*$E71+K$24) + K$25*SIN(K$27*$E71+K$28) + K$26*COS(K$27*$E71+K$28)</f>
        <v>0.000650402252929319</v>
      </c>
      <c r="L71" s="0" t="n">
        <f aca="false">L$8+L$9*SIN(L$11*$E71+L$12)+L$10*COS(L$11*$E71+L$12)+L$13*SIN(L$15*$E71+L$16)+L$14*COS(L$15*$E71+L$16)+L$17*SIN(L$19*$E71+L$20)+L$18*COS(L$19*$E71+L$20) + L$21*SIN(L$23*$E71+L$24)+L$22*COS(L$23*$E71+L$24) + L$25*SIN(L$27*$E71+L$28) + L$26*COS(L$27*$E71+L$28)</f>
        <v>0.000715942485275573</v>
      </c>
      <c r="M71" s="0" t="n">
        <f aca="false">M$8+M$9*SIN(M$11*$E71+M$12)+M$10*COS(M$11*$E71+M$12)+M$13*SIN(M$15*$E71+M$16)+M$14*COS(M$15*$E71+M$16)+M$17*SIN(M$19*$E71+M$20)+M$18*COS(M$19*$E71+M$20) + M$21*SIN(M$23*$E71+M$24)+M$22*COS(M$23*$E71+M$24) + M$25*SIN(M$27*$E71+M$28) + M$26*COS(M$27*$E71+M$28)</f>
        <v>0.000662081227124716</v>
      </c>
      <c r="N71" s="0" t="n">
        <f aca="false">N$8+N$9*SIN(N$11*$E71+N$12)+N$10*COS(N$11*$E71+N$12)+N$13*SIN(N$15*$E71+N$16)+N$14*COS(N$15*$E71+N$16)+N$17*SIN(N$19*$E71+N$20)+N$18*COS(N$19*$E71+N$20) + N$21*SIN(N$23*$E71+N$24)+N$22*COS(N$23*$E71+N$24) + N$25*SIN(N$27*$E71+N$28) + N$26*COS(N$27*$E71+N$28)</f>
        <v>0.000694970421149584</v>
      </c>
      <c r="O71" s="0" t="n">
        <f aca="false">O$8+O$9*SIN(O$11*$E71+O$12)+O$10*COS(O$11*$E71+O$12)+O$13*SIN(O$15*$E71+O$16)+O$14*COS(O$15*$E71+O$16)+O$17*SIN(O$19*$E71+O$20)+O$18*COS(O$19*$E71+O$20) + O$21*SIN(O$23*$E71+O$24)+O$22*COS(O$23*$E71+O$24) + O$25*SIN(O$27*$E71+O$28) + O$26*COS(O$27*$E71+O$28)</f>
        <v>0.000651379245330492</v>
      </c>
      <c r="P71" s="0" t="n">
        <f aca="false">P$8+P$9*SIN(P$11*$E71+P$12)+P$10*COS(P$11*$E71+P$12)+P$13*SIN(P$15*$E71+P$16)+P$14*COS(P$15*$E71+P$16)+P$17*SIN(P$19*$E71+P$20)+P$18*COS(P$19*$E71+P$20) + P$21*SIN(P$23*$E71+P$24)+P$22*COS(P$23*$E71+P$24) + P$25*SIN(P$27*$E71+P$28) + P$26*COS(P$27*$E71+P$28)</f>
        <v>0.00067762521729682</v>
      </c>
      <c r="Q71" s="0" t="n">
        <f aca="false">Q$8+Q$9*SIN(Q$11*$E71+Q$12)+Q$10*COS(Q$11*$E71+Q$12)+Q$13*SIN(Q$15*$E71+Q$16)+Q$14*COS(Q$15*$E71+Q$16)+Q$17*SIN(Q$19*$E71+Q$20)+Q$18*COS(Q$19*$E71+Q$20) + Q$21*SIN(Q$23*$E71+Q$24)+Q$22*COS(Q$23*$E71+Q$24) + Q$25*SIN(Q$27*$E71+Q$28) + Q$26*COS(Q$27*$E71+Q$28)</f>
        <v>0.000701854770361117</v>
      </c>
      <c r="R71" s="0" t="n">
        <f aca="false">R$8+R$9*SIN(R$11*$E71+R$12)+R$10*COS(R$11*$E71+R$12)+R$13*SIN(R$15*$E71+R$16)+R$14*COS(R$15*$E71+R$16)+R$17*SIN(R$19*$E71+R$20)+R$18*COS(R$19*$E71+R$20) + R$21*SIN(R$23*$E71+R$24)+R$22*COS(R$23*$E71+R$24) + R$25*SIN(R$27*$E71+R$28) + R$26*COS(R$27*$E71+R$28)</f>
        <v>0.000819291915286819</v>
      </c>
      <c r="S71" s="0" t="n">
        <f aca="false">S$8+S$9*SIN(S$11*$E71+S$12)+S$10*COS(S$11*$E71+S$12)+S$13*SIN(S$15*$E71+S$16)+S$14*COS(S$15*$E71+S$16)+S$17*SIN(S$19*$E71+S$20)+S$18*COS(S$19*$E71+S$20) + S$21*SIN(S$23*$E71+S$24)+S$22*COS(S$23*$E71+S$24) + S$25*SIN(S$27*$E71+S$28) + S$26*COS(S$27*$E71+S$28)</f>
        <v>0.000672979208003664</v>
      </c>
      <c r="T71" s="0" t="n">
        <f aca="false">T$8+T$9*SIN(T$11*$E71+T$12)+T$10*COS(T$11*$E71+T$12)+T$13*SIN(T$15*$E71+T$16)+T$14*COS(T$15*$E71+T$16)+T$17*SIN(T$19*$E71+T$20)+T$18*COS(T$19*$E71+T$20) + T$21*SIN(T$23*$E71+T$24)+T$22*COS(T$23*$E71+T$24) + T$25*SIN(T$27*$E71+T$28) + T$26*COS(T$27*$E71+T$28)</f>
        <v>0.000775607381491879</v>
      </c>
      <c r="U71" s="0" t="n">
        <f aca="false">U$8+U$9*SIN(U$11*$E71+U$12)+U$10*COS(U$11*$E71+U$12)+U$13*SIN(U$15*$E71+U$16)+U$14*COS(U$15*$E71+U$16)+U$17*SIN(U$19*$E71+U$20)+U$18*COS(U$19*$E71+U$20) + U$21*SIN(U$23*$E71+U$24)+U$22*COS(U$23*$E71+U$24) + U$25*SIN(U$27*$E71+U$28) + U$26*COS(U$27*$E71+U$28)</f>
        <v>0.000714211373053781</v>
      </c>
      <c r="V71" s="0" t="n">
        <f aca="false">V$8+V$9*SIN(V$11*$E71+V$12)+V$10*COS(V$11*$E71+V$12)+V$13*SIN(V$15*$E71+V$16)+V$14*COS(V$15*$E71+V$16)+V$17*SIN(V$19*$E71+V$20)+V$18*COS(V$19*$E71+V$20) + V$21*SIN(V$23*$E71+V$24)+V$22*COS(V$23*$E71+V$24) + V$25*SIN(V$27*$E71+V$28) + V$26*COS(V$27*$E71+V$28)</f>
        <v>0.000641275702128096</v>
      </c>
      <c r="W71" s="0" t="n">
        <f aca="false">W$8+W$9*SIN(W$11*$E71+W$12)+W$10*COS(W$11*$E71+W$12)+W$13*SIN(W$15*$E71+W$16)+W$14*COS(W$15*$E71+W$16)+W$17*SIN(W$19*$E71+W$20)+W$18*COS(W$19*$E71+W$20) + W$21*SIN(W$23*$E71+W$24)+W$22*COS(W$23*$E71+W$24) + W$25*SIN(W$27*$E71+W$28) + W$26*COS(W$27*$E71+W$28)</f>
        <v>0.000607280509967553</v>
      </c>
      <c r="X71" s="0" t="n">
        <f aca="false">X$8+X$9*SIN(X$11*$E71+X$12)+X$10*COS(X$11*$E71+X$12)+X$13*SIN(X$15*$E71+X$16)+X$14*COS(X$15*$E71+X$16)+X$17*SIN(X$19*$E71+X$20)+X$18*COS(X$19*$E71+X$20) + X$21*SIN(X$23*$E71+X$24)+X$22*COS(X$23*$E71+X$24) + X$25*SIN(X$27*$E71+X$28) + X$26*COS(X$27*$E71+X$28)</f>
        <v>0.000623368790759171</v>
      </c>
      <c r="Y71" s="0" t="n">
        <f aca="false">Y$8+Y$9*SIN(Y$11*$E71+Y$12)+Y$10*COS(Y$11*$E71+Y$12)+Y$13*SIN(Y$15*$E71+Y$16)+Y$14*COS(Y$15*$E71+Y$16)+Y$17*SIN(Y$19*$E71+Y$20)+Y$18*COS(Y$19*$E71+Y$20) + Y$21*SIN(Y$23*$E71+Y$24)+Y$22*COS(Y$23*$E71+Y$24) + Y$25*SIN(Y$27*$E71+Y$28) + Y$26*COS(Y$27*$E71+Y$28)</f>
        <v>0.000604291350402628</v>
      </c>
      <c r="Z71" s="0" t="n">
        <f aca="false">Z$8+Z$9*SIN(Z$11*$E71+Z$12)+Z$10*COS(Z$11*$E71+Z$12)+Z$13*SIN(Z$15*$E71+Z$16)+Z$14*COS(Z$15*$E71+Z$16)+Z$17*SIN(Z$19*$E71+Z$20)+Z$18*COS(Z$19*$E71+Z$20) + Z$21*SIN(Z$23*$E71+Z$24)+Z$22*COS(Z$23*$E71+Z$24) + Z$25*SIN(Z$27*$E71+Z$28) + Z$26*COS(Z$27*$E71+Z$28)</f>
        <v>0.00074978724127841</v>
      </c>
      <c r="AA71" s="0" t="n">
        <f aca="false">AA$8+AA$9*SIN(AA$11*$E71+AA$12)+AA$10*COS(AA$11*$E71+AA$12)+AA$13*SIN(AA$15*$E71+AA$16)+AA$14*COS(AA$15*$E71+AA$16)+AA$17*SIN(AA$19*$E71+AA$20)+AA$18*COS(AA$19*$E71+AA$20) + AA$21*SIN(AA$23*$E71+AA$24)+AA$22*COS(AA$23*$E71+AA$24) + AA$25*SIN(AA$27*$E71+AA$28) + AA$26*COS(AA$27*$E71+AA$28)</f>
        <v>0.00071696845666623</v>
      </c>
      <c r="AB71" s="0" t="n">
        <f aca="false">AB$8+AB$9*SIN(AB$11*$E71+AB$12)+AB$10*COS(AB$11*$E71+AB$12)+AB$13*SIN(AB$15*$E71+AB$16)+AB$14*COS(AB$15*$E71+AB$16)+AB$17*SIN(AB$19*$E71+AB$20)+AB$18*COS(AB$19*$E71+AB$20) + AB$21*SIN(AB$23*$E71+AB$24)+AB$22*COS(AB$23*$E71+AB$24) + AB$25*SIN(AB$27*$E71+AB$28) + AB$26*COS(AB$27*$E71+AB$28)</f>
        <v>0.000726993747672948</v>
      </c>
      <c r="AC71" s="0" t="n">
        <f aca="false">AC$8+AC$9*SIN(AC$11*$E71+AC$12)+AC$10*COS(AC$11*$E71+AC$12)+AC$13*SIN(AC$15*$E71+AC$16)+AC$14*COS(AC$15*$E71+AC$16)+AC$17*SIN(AC$19*$E71+AC$20)+AC$18*COS(AC$19*$E71+AC$20) + AC$21*SIN(AC$23*$E71+AC$24)+AC$22*COS(AC$23*$E71+AC$24) + AC$25*SIN(AC$27*$E71+AC$28) + AC$26*COS(AC$27*$E71+AC$28)</f>
        <v>0.000756838843811244</v>
      </c>
    </row>
    <row r="72" customFormat="false" ht="15" hidden="false" customHeight="false" outlineLevel="0" collapsed="false">
      <c r="E72" s="0" t="s">
        <v>507</v>
      </c>
      <c r="F72" s="0" t="n">
        <f aca="false">SUM(F47:F71)</f>
        <v>0.0226452828918897</v>
      </c>
      <c r="G72" s="0" t="n">
        <f aca="false">SUM(G47:G71)</f>
        <v>0.0192075344028362</v>
      </c>
      <c r="H72" s="0" t="n">
        <f aca="false">SUM(H47:H71)</f>
        <v>0.0227382532634511</v>
      </c>
      <c r="I72" s="0" t="n">
        <f aca="false">SUM(I47:I71)</f>
        <v>0.019140687532001</v>
      </c>
      <c r="J72" s="0" t="n">
        <f aca="false">SUM(J47:J71)</f>
        <v>0.020483022102287</v>
      </c>
      <c r="K72" s="0" t="n">
        <f aca="false">SUM(K47:K71)</f>
        <v>0.0173188402276852</v>
      </c>
      <c r="L72" s="0" t="n">
        <f aca="false">SUM(L47:L71)</f>
        <v>0.0198366659952145</v>
      </c>
      <c r="M72" s="0" t="n">
        <f aca="false">SUM(M47:M71)</f>
        <v>0.0169490086696675</v>
      </c>
      <c r="N72" s="0" t="n">
        <f aca="false">SUM(N47:N71)</f>
        <v>0.0204043122546102</v>
      </c>
      <c r="O72" s="0" t="n">
        <f aca="false">SUM(O47:O71)</f>
        <v>0.0173095157441258</v>
      </c>
      <c r="P72" s="0" t="n">
        <f aca="false">SUM(P47:P71)</f>
        <v>0.0142946351806457</v>
      </c>
      <c r="Q72" s="0" t="n">
        <f aca="false">SUM(Q47:Q71)</f>
        <v>0.0180326308758235</v>
      </c>
      <c r="R72" s="0" t="n">
        <f aca="false">SUM(R47:R71)</f>
        <v>0.0204833292244244</v>
      </c>
      <c r="S72" s="0" t="n">
        <f aca="false">SUM(S47:S71)</f>
        <v>0.0174276752934281</v>
      </c>
      <c r="T72" s="0" t="n">
        <f aca="false">SUM(T47:T71)</f>
        <v>0.0207322306232452</v>
      </c>
      <c r="U72" s="0" t="n">
        <f aca="false">SUM(U47:U71)</f>
        <v>0.017398505288072</v>
      </c>
      <c r="V72" s="0" t="n">
        <f aca="false">SUM(V47:V71)</f>
        <v>0.021038572879595</v>
      </c>
      <c r="W72" s="0" t="n">
        <f aca="false">SUM(W47:W71)</f>
        <v>0.0177819717073443</v>
      </c>
      <c r="X72" s="0" t="n">
        <f aca="false">SUM(X47:X71)</f>
        <v>0.0196748920348216</v>
      </c>
      <c r="Y72" s="0" t="n">
        <f aca="false">SUM(Y47:Y71)</f>
        <v>0.0167883407150944</v>
      </c>
      <c r="Z72" s="0" t="n">
        <f aca="false">SUM(Z47:Z71)</f>
        <v>0.0211125718061509</v>
      </c>
      <c r="AA72" s="0" t="n">
        <f aca="false">SUM(AA47:AA71)</f>
        <v>0.0179252987784703</v>
      </c>
      <c r="AB72" s="0" t="n">
        <f aca="false">SUM(AB47:AB71)</f>
        <v>0.0167254066758298</v>
      </c>
      <c r="AC72" s="0" t="n">
        <f aca="false">SUM(AC47:AC71)</f>
        <v>0.0172830683245995</v>
      </c>
    </row>
    <row r="73" customFormat="false" ht="15" hidden="false" customHeight="false" outlineLevel="0" collapsed="false">
      <c r="E73" s="0" t="s">
        <v>508</v>
      </c>
      <c r="F73" s="0" t="n">
        <f aca="false">24*F72+6*G72</f>
        <v>0.65873199582237</v>
      </c>
      <c r="H73" s="0" t="n">
        <f aca="false">24*H72+6*I72</f>
        <v>0.660562203514832</v>
      </c>
      <c r="J73" s="0" t="n">
        <f aca="false">24*J72+6*K72</f>
        <v>0.595505571821</v>
      </c>
      <c r="L73" s="0" t="n">
        <f aca="false">24*L72+6*M72</f>
        <v>0.577774035903154</v>
      </c>
      <c r="N73" s="0" t="n">
        <f aca="false">24*N72+6*O72</f>
        <v>0.593560588575401</v>
      </c>
      <c r="P73" s="0" t="n">
        <f aca="false">24*P72+6*Q72</f>
        <v>0.451267029590438</v>
      </c>
      <c r="R73" s="0" t="n">
        <f aca="false">24*R72+6*S72</f>
        <v>0.596165953146754</v>
      </c>
      <c r="T73" s="0" t="n">
        <f aca="false">24*T72+6*U72</f>
        <v>0.601964566686316</v>
      </c>
      <c r="V73" s="0" t="n">
        <f aca="false">24*V72+6*W72</f>
        <v>0.611617579354345</v>
      </c>
      <c r="X73" s="0" t="n">
        <f aca="false">24*X72+6*Y72</f>
        <v>0.572927453126285</v>
      </c>
      <c r="Z73" s="0" t="n">
        <f aca="false">24*Z72+6*AA72</f>
        <v>0.614253516018442</v>
      </c>
      <c r="AB73" s="0" t="n">
        <f aca="false">24*AB72+6*AC72</f>
        <v>0.505108170167513</v>
      </c>
    </row>
    <row r="74" customFormat="false" ht="15" hidden="false" customHeight="false" outlineLevel="0" collapsed="false">
      <c r="E74" s="0" t="s">
        <v>509</v>
      </c>
      <c r="F74" s="0" t="n">
        <f aca="false">SUM(F73:AB73)</f>
        <v>7.03943866372685</v>
      </c>
    </row>
    <row r="77" customFormat="false" ht="15" hidden="false" customHeight="false" outlineLevel="0" collapsed="false">
      <c r="D77" s="0" t="s">
        <v>510</v>
      </c>
    </row>
    <row r="78" customFormat="false" ht="15" hidden="false" customHeight="false" outlineLevel="0" collapsed="false">
      <c r="B78" s="6" t="n">
        <v>1</v>
      </c>
      <c r="C78" s="6"/>
      <c r="D78" s="6" t="n">
        <v>2</v>
      </c>
      <c r="E78" s="6"/>
      <c r="F78" s="6" t="n">
        <v>3</v>
      </c>
      <c r="G78" s="6"/>
      <c r="H78" s="6" t="n">
        <v>4</v>
      </c>
      <c r="I78" s="6"/>
      <c r="J78" s="6" t="n">
        <v>5</v>
      </c>
      <c r="K78" s="6"/>
      <c r="L78" s="6" t="n">
        <v>6</v>
      </c>
      <c r="M78" s="6"/>
      <c r="N78" s="6" t="n">
        <v>7</v>
      </c>
      <c r="O78" s="6"/>
      <c r="P78" s="6" t="n">
        <v>8</v>
      </c>
      <c r="Q78" s="6"/>
      <c r="R78" s="6" t="n">
        <v>9</v>
      </c>
      <c r="S78" s="6"/>
    </row>
    <row r="79" customFormat="false" ht="15" hidden="false" customHeight="false" outlineLevel="0" collapsed="false">
      <c r="B79" s="5" t="s">
        <v>489</v>
      </c>
      <c r="C79" s="5" t="s">
        <v>490</v>
      </c>
      <c r="D79" s="5" t="s">
        <v>489</v>
      </c>
      <c r="E79" s="5" t="s">
        <v>490</v>
      </c>
      <c r="F79" s="5" t="s">
        <v>489</v>
      </c>
      <c r="G79" s="5" t="s">
        <v>490</v>
      </c>
      <c r="H79" s="5" t="s">
        <v>489</v>
      </c>
      <c r="I79" s="5" t="s">
        <v>490</v>
      </c>
      <c r="J79" s="5" t="s">
        <v>489</v>
      </c>
      <c r="K79" s="5" t="s">
        <v>490</v>
      </c>
      <c r="L79" s="5" t="s">
        <v>489</v>
      </c>
      <c r="M79" s="5" t="s">
        <v>490</v>
      </c>
      <c r="N79" s="5" t="s">
        <v>489</v>
      </c>
      <c r="O79" s="5" t="s">
        <v>490</v>
      </c>
      <c r="P79" s="5" t="s">
        <v>489</v>
      </c>
      <c r="Q79" s="5" t="s">
        <v>490</v>
      </c>
      <c r="R79" s="5" t="s">
        <v>489</v>
      </c>
      <c r="S79" s="5" t="s">
        <v>490</v>
      </c>
    </row>
    <row r="80" customFormat="false" ht="15" hidden="false" customHeight="false" outlineLevel="0" collapsed="false">
      <c r="B80" s="5" t="n">
        <v>-0.62</v>
      </c>
      <c r="C80" s="5" t="n">
        <v>-0.596</v>
      </c>
      <c r="D80" s="5" t="n">
        <v>-0.735</v>
      </c>
      <c r="E80" s="5" t="n">
        <v>-0.734</v>
      </c>
      <c r="F80" s="5" t="n">
        <v>-0.62</v>
      </c>
      <c r="G80" s="5" t="n">
        <v>-0.621</v>
      </c>
      <c r="H80" s="5" t="n">
        <v>-0.362</v>
      </c>
      <c r="I80" s="5" t="n">
        <v>-0.281</v>
      </c>
      <c r="J80" s="5" t="n">
        <v>-0.694</v>
      </c>
      <c r="K80" s="5" t="n">
        <v>-0.36</v>
      </c>
      <c r="L80" s="5" t="n">
        <v>-0.7</v>
      </c>
      <c r="M80" s="5" t="n">
        <v>-0.514</v>
      </c>
      <c r="N80" s="5" t="n">
        <v>-0.89</v>
      </c>
      <c r="O80" s="5" t="n">
        <v>-0.589</v>
      </c>
      <c r="P80" s="5" t="n">
        <v>-0.743</v>
      </c>
      <c r="Q80" s="5" t="n">
        <v>-0.737</v>
      </c>
      <c r="R80" s="5" t="n">
        <v>-0.826</v>
      </c>
      <c r="S80" s="5" t="n">
        <v>-0.592</v>
      </c>
    </row>
    <row r="81" customFormat="false" ht="15" hidden="false" customHeight="false" outlineLevel="0" collapsed="false">
      <c r="B81" s="5" t="n">
        <v>-0.3</v>
      </c>
      <c r="C81" s="5" t="n">
        <v>-0.106</v>
      </c>
      <c r="D81" s="5" t="n">
        <v>-0.443</v>
      </c>
      <c r="E81" s="5" t="n">
        <v>-0.051</v>
      </c>
      <c r="F81" s="5" t="n">
        <v>-0.4</v>
      </c>
      <c r="G81" s="5" t="n">
        <v>0</v>
      </c>
      <c r="H81" s="5" t="n">
        <v>-0.326</v>
      </c>
      <c r="I81" s="5" t="n">
        <v>-0.147</v>
      </c>
      <c r="J81" s="5" t="n">
        <v>-0.863</v>
      </c>
      <c r="K81" s="5" t="n">
        <v>-0.221</v>
      </c>
      <c r="L81" s="5" t="n">
        <v>-1.032</v>
      </c>
      <c r="M81" s="5" t="n">
        <v>-0.434</v>
      </c>
      <c r="N81" s="5" t="n">
        <v>-1.205</v>
      </c>
      <c r="O81" s="5" t="n">
        <v>-0.411</v>
      </c>
      <c r="P81" s="5" t="n">
        <v>-0.854</v>
      </c>
      <c r="Q81" s="5" t="n">
        <v>-0.258</v>
      </c>
      <c r="R81" s="5" t="n">
        <v>-1.071</v>
      </c>
      <c r="S81" s="5" t="n">
        <v>-0.499</v>
      </c>
    </row>
    <row r="82" customFormat="false" ht="15" hidden="false" customHeight="false" outlineLevel="0" collapsed="false">
      <c r="B82" s="5" t="n">
        <v>0.944</v>
      </c>
      <c r="C82" s="5" t="n">
        <v>0.934</v>
      </c>
      <c r="D82" s="5" t="n">
        <v>0.922</v>
      </c>
      <c r="E82" s="5" t="n">
        <v>0.941</v>
      </c>
      <c r="F82" s="5" t="n">
        <v>0.885</v>
      </c>
      <c r="G82" s="5" t="n">
        <v>0.969</v>
      </c>
      <c r="H82" s="5" t="n">
        <v>0.923</v>
      </c>
      <c r="I82" s="5" t="n">
        <v>0.87</v>
      </c>
      <c r="J82" s="5" t="n">
        <v>0.993</v>
      </c>
      <c r="K82" s="5" t="n">
        <v>0.973</v>
      </c>
      <c r="L82" s="5" t="n">
        <v>1.013</v>
      </c>
      <c r="M82" s="5" t="n">
        <v>1.003</v>
      </c>
      <c r="N82" s="5" t="n">
        <v>1.034</v>
      </c>
      <c r="O82" s="5" t="n">
        <v>0.993</v>
      </c>
      <c r="P82" s="5" t="n">
        <v>1.034</v>
      </c>
      <c r="Q82" s="5" t="n">
        <v>1.065</v>
      </c>
      <c r="R82" s="5" t="n">
        <v>0.983</v>
      </c>
      <c r="S82" s="5" t="n">
        <v>1.003</v>
      </c>
    </row>
    <row r="83" customFormat="false" ht="15" hidden="false" customHeight="false" outlineLevel="0" collapsed="false">
      <c r="B83" s="5" t="n">
        <v>0</v>
      </c>
      <c r="C83" s="5" t="n">
        <v>0</v>
      </c>
      <c r="D83" s="5" t="n">
        <v>0</v>
      </c>
      <c r="E83" s="5" t="n">
        <v>0</v>
      </c>
      <c r="F83" s="5" t="n">
        <v>0</v>
      </c>
      <c r="G83" s="5" t="n">
        <v>0</v>
      </c>
      <c r="H83" s="5" t="n">
        <v>0</v>
      </c>
      <c r="I83" s="5" t="n">
        <v>0</v>
      </c>
      <c r="J83" s="5" t="n">
        <v>0</v>
      </c>
      <c r="K83" s="5" t="n">
        <v>0</v>
      </c>
      <c r="L83" s="5" t="n">
        <v>0</v>
      </c>
      <c r="M83" s="5" t="n">
        <v>0</v>
      </c>
      <c r="N83" s="5" t="n">
        <v>0</v>
      </c>
      <c r="O83" s="5" t="n">
        <v>0</v>
      </c>
      <c r="P83" s="5" t="n">
        <v>0</v>
      </c>
      <c r="Q83" s="5" t="n">
        <v>0</v>
      </c>
      <c r="R83" s="5" t="n">
        <v>0</v>
      </c>
      <c r="S83" s="5" t="n">
        <v>0</v>
      </c>
    </row>
    <row r="84" customFormat="false" ht="15" hidden="false" customHeight="false" outlineLevel="0" collapsed="false">
      <c r="B84" s="5" t="n">
        <v>-0.032</v>
      </c>
      <c r="C84" s="5" t="n">
        <v>-0.091</v>
      </c>
      <c r="D84" s="5" t="n">
        <v>0</v>
      </c>
      <c r="E84" s="5" t="n">
        <v>-0.242</v>
      </c>
      <c r="F84" s="5" t="n">
        <v>0</v>
      </c>
      <c r="G84" s="5" t="n">
        <v>-0.279</v>
      </c>
      <c r="H84" s="5" t="n">
        <v>-0.136</v>
      </c>
      <c r="I84" s="5" t="n">
        <v>-0.031</v>
      </c>
      <c r="J84" s="5" t="n">
        <v>0</v>
      </c>
      <c r="K84" s="5" t="n">
        <v>-0.041</v>
      </c>
      <c r="L84" s="5" t="n">
        <v>0</v>
      </c>
      <c r="M84" s="5" t="n">
        <v>0</v>
      </c>
      <c r="N84" s="5" t="n">
        <v>0</v>
      </c>
      <c r="O84" s="5" t="n">
        <v>0</v>
      </c>
      <c r="P84" s="5" t="n">
        <v>-0.087</v>
      </c>
      <c r="Q84" s="5" t="n">
        <v>-0.007</v>
      </c>
      <c r="R84" s="5" t="n">
        <v>-0.128</v>
      </c>
      <c r="S84" s="5" t="n">
        <v>0</v>
      </c>
    </row>
    <row r="85" customFormat="false" ht="15" hidden="false" customHeight="false" outlineLevel="0" collapsed="false">
      <c r="B85" s="5" t="n">
        <v>-0.465</v>
      </c>
      <c r="C85" s="5" t="n">
        <v>-0.229</v>
      </c>
      <c r="D85" s="5" t="n">
        <v>-0.557</v>
      </c>
      <c r="E85" s="5" t="n">
        <v>0.101</v>
      </c>
      <c r="F85" s="5" t="n">
        <v>-0.553</v>
      </c>
      <c r="G85" s="5" t="n">
        <v>-0.071</v>
      </c>
      <c r="H85" s="5" t="n">
        <v>-0.366</v>
      </c>
      <c r="I85" s="5" t="n">
        <v>-0.287</v>
      </c>
      <c r="J85" s="5" t="n">
        <v>0</v>
      </c>
      <c r="K85" s="5" t="n">
        <v>-0.204</v>
      </c>
      <c r="L85" s="5" t="n">
        <v>-0.165</v>
      </c>
      <c r="M85" s="5" t="n">
        <v>0.123</v>
      </c>
      <c r="N85" s="5" t="n">
        <v>0</v>
      </c>
      <c r="O85" s="5" t="n">
        <v>-0.116</v>
      </c>
      <c r="P85" s="5" t="n">
        <v>0</v>
      </c>
      <c r="Q85" s="5" t="n">
        <v>-0.095</v>
      </c>
      <c r="R85" s="5" t="n">
        <v>0</v>
      </c>
      <c r="S85" s="5" t="n">
        <v>0</v>
      </c>
    </row>
    <row r="86" customFormat="false" ht="15" hidden="false" customHeight="false" outlineLevel="0" collapsed="false">
      <c r="B86" s="5" t="n">
        <v>2.011</v>
      </c>
      <c r="C86" s="5" t="n">
        <v>2.13</v>
      </c>
      <c r="D86" s="5" t="n">
        <v>2.028</v>
      </c>
      <c r="E86" s="5" t="n">
        <v>2.126</v>
      </c>
      <c r="F86" s="5" t="n">
        <v>1.987</v>
      </c>
      <c r="G86" s="5" t="n">
        <v>1.924</v>
      </c>
      <c r="H86" s="5" t="n">
        <v>1.98</v>
      </c>
      <c r="I86" s="5" t="n">
        <v>2.171</v>
      </c>
      <c r="J86" s="5" t="n">
        <v>0</v>
      </c>
      <c r="K86" s="5" t="n">
        <v>2.015</v>
      </c>
      <c r="L86" s="5" t="n">
        <v>1.998</v>
      </c>
      <c r="M86" s="5" t="n">
        <v>1.902</v>
      </c>
      <c r="N86" s="5" t="n">
        <v>0</v>
      </c>
      <c r="O86" s="5" t="n">
        <v>1.736</v>
      </c>
      <c r="P86" s="5" t="n">
        <v>1.616</v>
      </c>
      <c r="Q86" s="5" t="n">
        <v>2.885</v>
      </c>
      <c r="R86" s="5" t="n">
        <v>2.062</v>
      </c>
      <c r="S86" s="5" t="n">
        <v>0</v>
      </c>
    </row>
    <row r="87" customFormat="false" ht="15" hidden="false" customHeight="false" outlineLevel="0" collapsed="false">
      <c r="B87" s="5" t="n">
        <v>5.219</v>
      </c>
      <c r="C87" s="5" t="n">
        <v>4.928</v>
      </c>
      <c r="D87" s="5" t="n">
        <v>4.966</v>
      </c>
      <c r="E87" s="5" t="n">
        <v>0</v>
      </c>
      <c r="F87" s="5" t="n">
        <v>5.22</v>
      </c>
      <c r="G87" s="5" t="n">
        <v>0.176</v>
      </c>
      <c r="H87" s="5" t="n">
        <v>5.321</v>
      </c>
      <c r="I87" s="5" t="n">
        <v>4.419</v>
      </c>
      <c r="J87" s="5" t="n">
        <v>0</v>
      </c>
      <c r="K87" s="5" t="n">
        <v>4.61</v>
      </c>
      <c r="L87" s="5" t="n">
        <v>4.234</v>
      </c>
      <c r="M87" s="5" t="n">
        <v>0.417</v>
      </c>
      <c r="N87" s="5" t="n">
        <v>0</v>
      </c>
      <c r="O87" s="5" t="n">
        <v>4.05</v>
      </c>
      <c r="P87" s="5" t="n">
        <v>0</v>
      </c>
      <c r="Q87" s="5" t="n">
        <v>4.867</v>
      </c>
      <c r="R87" s="5" t="n">
        <v>6.052</v>
      </c>
      <c r="S87" s="5" t="n">
        <v>0</v>
      </c>
    </row>
    <row r="88" customFormat="false" ht="15" hidden="false" customHeight="false" outlineLevel="0" collapsed="false">
      <c r="B88" s="5" t="n">
        <v>0</v>
      </c>
      <c r="C88" s="5" t="n">
        <v>0</v>
      </c>
      <c r="D88" s="5" t="n">
        <v>0</v>
      </c>
      <c r="E88" s="5" t="n">
        <v>-0.057</v>
      </c>
      <c r="F88" s="5" t="n">
        <v>0</v>
      </c>
      <c r="G88" s="5" t="n">
        <v>-0.058</v>
      </c>
      <c r="H88" s="5" t="n">
        <v>-0.095</v>
      </c>
      <c r="I88" s="5" t="n">
        <v>-0.084</v>
      </c>
      <c r="J88" s="5" t="n">
        <v>-0.212</v>
      </c>
      <c r="K88" s="5" t="n">
        <v>0</v>
      </c>
      <c r="L88" s="5" t="n">
        <v>-0.126</v>
      </c>
      <c r="M88" s="5" t="n">
        <v>-0.072</v>
      </c>
      <c r="N88" s="5" t="n">
        <v>0</v>
      </c>
      <c r="O88" s="5" t="n">
        <v>-0.087</v>
      </c>
      <c r="P88" s="5" t="n">
        <v>0</v>
      </c>
      <c r="Q88" s="5" t="n">
        <v>-0.1</v>
      </c>
      <c r="R88" s="5" t="n">
        <v>-0.133</v>
      </c>
      <c r="S88" s="5" t="n">
        <v>-0.133</v>
      </c>
    </row>
    <row r="89" customFormat="false" ht="15" hidden="false" customHeight="false" outlineLevel="0" collapsed="false">
      <c r="B89" s="5" t="n">
        <v>0</v>
      </c>
      <c r="C89" s="5" t="n">
        <v>0</v>
      </c>
      <c r="D89" s="5" t="n">
        <v>-0.102</v>
      </c>
      <c r="E89" s="5" t="n">
        <v>-0.103</v>
      </c>
      <c r="F89" s="5" t="n">
        <v>-0.064</v>
      </c>
      <c r="G89" s="5" t="n">
        <v>-0.09</v>
      </c>
      <c r="H89" s="5" t="n">
        <v>0</v>
      </c>
      <c r="I89" s="5" t="n">
        <v>-0.028</v>
      </c>
      <c r="J89" s="5" t="n">
        <v>0</v>
      </c>
      <c r="K89" s="5" t="n">
        <v>-0.068</v>
      </c>
      <c r="L89" s="5" t="n">
        <v>0</v>
      </c>
      <c r="M89" s="5" t="n">
        <v>0</v>
      </c>
      <c r="N89" s="5" t="n">
        <v>0</v>
      </c>
      <c r="O89" s="5" t="n">
        <v>0</v>
      </c>
      <c r="P89" s="5" t="n">
        <v>-0.135</v>
      </c>
      <c r="Q89" s="5" t="n">
        <v>0</v>
      </c>
      <c r="R89" s="5" t="n">
        <v>0</v>
      </c>
      <c r="S89" s="5" t="n">
        <v>0</v>
      </c>
    </row>
    <row r="90" customFormat="false" ht="15" hidden="false" customHeight="false" outlineLevel="0" collapsed="false">
      <c r="B90" s="5" t="n">
        <v>0</v>
      </c>
      <c r="C90" s="5" t="n">
        <v>0</v>
      </c>
      <c r="D90" s="5" t="n">
        <v>3.764</v>
      </c>
      <c r="E90" s="5" t="n">
        <v>1.588</v>
      </c>
      <c r="F90" s="5" t="n">
        <v>3.745</v>
      </c>
      <c r="G90" s="5" t="n">
        <v>3.164</v>
      </c>
      <c r="H90" s="5" t="n">
        <v>4.025</v>
      </c>
      <c r="I90" s="5" t="n">
        <v>3.417</v>
      </c>
      <c r="J90" s="5" t="n">
        <v>1.576</v>
      </c>
      <c r="K90" s="5" t="n">
        <v>3.256</v>
      </c>
      <c r="L90" s="5" t="n">
        <v>3.969</v>
      </c>
      <c r="M90" s="5" t="n">
        <v>3.818</v>
      </c>
      <c r="N90" s="5" t="n">
        <v>0</v>
      </c>
      <c r="O90" s="5" t="n">
        <v>3.594</v>
      </c>
      <c r="P90" s="5" t="n">
        <v>3.652</v>
      </c>
      <c r="Q90" s="5" t="n">
        <v>3.548</v>
      </c>
      <c r="R90" s="5" t="n">
        <v>4.564</v>
      </c>
      <c r="S90" s="5" t="n">
        <v>2.113</v>
      </c>
    </row>
    <row r="91" customFormat="false" ht="15" hidden="false" customHeight="false" outlineLevel="0" collapsed="false">
      <c r="B91" s="5" t="n">
        <v>0</v>
      </c>
      <c r="C91" s="5" t="n">
        <v>0</v>
      </c>
      <c r="D91" s="5" t="n">
        <v>3.207</v>
      </c>
      <c r="E91" s="5" t="n">
        <v>0.91</v>
      </c>
      <c r="F91" s="5" t="n">
        <v>2.395</v>
      </c>
      <c r="G91" s="5" t="n">
        <v>0.471</v>
      </c>
      <c r="H91" s="5" t="n">
        <v>2.102</v>
      </c>
      <c r="I91" s="5" t="n">
        <v>4.673</v>
      </c>
      <c r="J91" s="5" t="n">
        <v>1.306</v>
      </c>
      <c r="K91" s="5" t="n">
        <v>5.026</v>
      </c>
      <c r="L91" s="5" t="n">
        <v>2.236</v>
      </c>
      <c r="M91" s="5" t="n">
        <v>2.289</v>
      </c>
      <c r="N91" s="5" t="n">
        <v>0</v>
      </c>
      <c r="O91" s="5" t="n">
        <v>2.725</v>
      </c>
      <c r="P91" s="5" t="n">
        <v>1.559</v>
      </c>
      <c r="Q91" s="5" t="n">
        <v>2.522</v>
      </c>
      <c r="R91" s="5" t="n">
        <v>0</v>
      </c>
      <c r="S91" s="5" t="n">
        <v>5.016</v>
      </c>
    </row>
    <row r="92" customFormat="false" ht="15" hidden="false" customHeight="false" outlineLevel="0" collapsed="false">
      <c r="B92" s="5" t="n">
        <v>-0.036</v>
      </c>
      <c r="C92" s="5" t="n">
        <v>0</v>
      </c>
      <c r="D92" s="5" t="n">
        <v>-0.136</v>
      </c>
      <c r="E92" s="5" t="n">
        <v>0</v>
      </c>
      <c r="F92" s="5" t="n">
        <v>-0.1</v>
      </c>
      <c r="G92" s="5" t="n">
        <v>-0.091</v>
      </c>
      <c r="H92" s="5" t="n">
        <v>0</v>
      </c>
      <c r="I92" s="5" t="n">
        <v>0</v>
      </c>
      <c r="J92" s="5" t="n">
        <v>-0.073</v>
      </c>
      <c r="K92" s="5" t="n">
        <v>-0.077</v>
      </c>
      <c r="L92" s="5" t="n">
        <v>-0.108</v>
      </c>
      <c r="M92" s="5" t="n">
        <v>0</v>
      </c>
      <c r="N92" s="5" t="n">
        <v>0</v>
      </c>
      <c r="O92" s="5" t="n">
        <v>0</v>
      </c>
      <c r="P92" s="5" t="n">
        <v>0</v>
      </c>
      <c r="Q92" s="5" t="n">
        <v>0</v>
      </c>
      <c r="R92" s="5" t="n">
        <v>-0.128</v>
      </c>
      <c r="S92" s="5" t="n">
        <v>-0.097</v>
      </c>
    </row>
    <row r="93" customFormat="false" ht="15" hidden="false" customHeight="false" outlineLevel="0" collapsed="false">
      <c r="B93" s="5" t="n">
        <v>-0.031</v>
      </c>
      <c r="C93" s="5" t="n">
        <v>-0.074</v>
      </c>
      <c r="D93" s="5" t="n">
        <v>0</v>
      </c>
      <c r="E93" s="5" t="n">
        <v>0</v>
      </c>
      <c r="F93" s="5" t="n">
        <v>0</v>
      </c>
      <c r="G93" s="5" t="n">
        <v>0</v>
      </c>
      <c r="H93" s="5" t="n">
        <v>-0.046</v>
      </c>
      <c r="I93" s="5" t="n">
        <v>0</v>
      </c>
      <c r="J93" s="5" t="n">
        <v>-0.133</v>
      </c>
      <c r="K93" s="5" t="n">
        <v>0</v>
      </c>
      <c r="L93" s="5" t="n">
        <v>0</v>
      </c>
      <c r="M93" s="5" t="n">
        <v>0</v>
      </c>
      <c r="N93" s="5" t="n">
        <v>0</v>
      </c>
      <c r="O93" s="5" t="n">
        <v>-0.062</v>
      </c>
      <c r="P93" s="5" t="n">
        <v>-0.068</v>
      </c>
      <c r="Q93" s="5" t="n">
        <v>-0.041</v>
      </c>
      <c r="R93" s="5" t="n">
        <v>0</v>
      </c>
      <c r="S93" s="5" t="n">
        <v>0</v>
      </c>
    </row>
    <row r="94" customFormat="false" ht="15" hidden="false" customHeight="false" outlineLevel="0" collapsed="false">
      <c r="B94" s="5" t="n">
        <v>4.81</v>
      </c>
      <c r="C94" s="5" t="n">
        <v>3.466</v>
      </c>
      <c r="D94" s="5" t="n">
        <v>4.035</v>
      </c>
      <c r="E94" s="5" t="n">
        <v>0</v>
      </c>
      <c r="F94" s="5" t="n">
        <v>3.559</v>
      </c>
      <c r="G94" s="5" t="n">
        <v>3.753</v>
      </c>
      <c r="H94" s="5" t="n">
        <v>5.13</v>
      </c>
      <c r="I94" s="5" t="n">
        <v>0</v>
      </c>
      <c r="J94" s="5" t="n">
        <v>3.618</v>
      </c>
      <c r="K94" s="5" t="n">
        <v>3.961</v>
      </c>
      <c r="L94" s="5" t="n">
        <v>8.273</v>
      </c>
      <c r="M94" s="5" t="n">
        <v>0</v>
      </c>
      <c r="N94" s="5" t="n">
        <v>0</v>
      </c>
      <c r="O94" s="5" t="n">
        <v>2.034</v>
      </c>
      <c r="P94" s="5" t="n">
        <v>7.79</v>
      </c>
      <c r="Q94" s="5" t="n">
        <v>9.407</v>
      </c>
      <c r="R94" s="5" t="n">
        <v>3.791</v>
      </c>
      <c r="S94" s="5" t="n">
        <v>4.51</v>
      </c>
    </row>
    <row r="95" customFormat="false" ht="15" hidden="false" customHeight="false" outlineLevel="0" collapsed="false">
      <c r="B95" s="5" t="n">
        <v>0</v>
      </c>
      <c r="C95" s="5" t="n">
        <v>4.291</v>
      </c>
      <c r="D95" s="5" t="n">
        <v>2.701</v>
      </c>
      <c r="E95" s="5" t="n">
        <v>0</v>
      </c>
      <c r="F95" s="5" t="n">
        <v>5.176</v>
      </c>
      <c r="G95" s="5" t="n">
        <v>3.904</v>
      </c>
      <c r="H95" s="5" t="n">
        <v>0</v>
      </c>
      <c r="I95" s="5" t="n">
        <v>0</v>
      </c>
      <c r="J95" s="5" t="n">
        <v>2.802</v>
      </c>
      <c r="K95" s="5" t="n">
        <v>1.893</v>
      </c>
      <c r="L95" s="5" t="n">
        <v>0</v>
      </c>
      <c r="M95" s="5" t="n">
        <v>0</v>
      </c>
      <c r="N95" s="5" t="n">
        <v>0</v>
      </c>
      <c r="O95" s="5" t="n">
        <v>1.535</v>
      </c>
      <c r="P95" s="5" t="n">
        <v>0</v>
      </c>
      <c r="Q95" s="5" t="n">
        <v>3.219</v>
      </c>
      <c r="R95" s="5" t="n">
        <v>3.753</v>
      </c>
      <c r="S95" s="5" t="n">
        <v>0</v>
      </c>
    </row>
    <row r="96" customFormat="false" ht="15" hidden="false" customHeight="false" outlineLevel="0" collapsed="false">
      <c r="B96" s="5" t="n">
        <v>-0.138</v>
      </c>
      <c r="C96" s="5" t="n">
        <v>-0.032</v>
      </c>
      <c r="D96" s="5" t="n">
        <v>0</v>
      </c>
      <c r="E96" s="5" t="n">
        <v>-0.055</v>
      </c>
      <c r="F96" s="5" t="n">
        <v>-0.108</v>
      </c>
      <c r="G96" s="5" t="n">
        <v>0</v>
      </c>
      <c r="H96" s="5" t="n">
        <v>-0.054</v>
      </c>
      <c r="I96" s="5" t="n">
        <v>-0.081</v>
      </c>
      <c r="J96" s="5" t="n">
        <v>0</v>
      </c>
      <c r="K96" s="5" t="n">
        <v>0</v>
      </c>
      <c r="L96" s="5" t="n">
        <v>0</v>
      </c>
      <c r="M96" s="5" t="n">
        <v>0</v>
      </c>
      <c r="N96" s="5" t="n">
        <v>0</v>
      </c>
      <c r="O96" s="5" t="n">
        <v>0</v>
      </c>
      <c r="P96" s="5" t="n">
        <v>0</v>
      </c>
      <c r="Q96" s="5" t="n">
        <v>0</v>
      </c>
      <c r="R96" s="5" t="n">
        <v>-0.075</v>
      </c>
      <c r="S96" s="5" t="n">
        <v>0</v>
      </c>
    </row>
    <row r="97" customFormat="false" ht="15" hidden="false" customHeight="false" outlineLevel="0" collapsed="false">
      <c r="B97" s="5" t="n">
        <v>0</v>
      </c>
      <c r="C97" s="5" t="n">
        <v>-0.03</v>
      </c>
      <c r="D97" s="5" t="n">
        <v>-0.088</v>
      </c>
      <c r="E97" s="5" t="n">
        <v>-0.064</v>
      </c>
      <c r="F97" s="5" t="n">
        <v>-0.088</v>
      </c>
      <c r="G97" s="5" t="n">
        <v>0</v>
      </c>
      <c r="H97" s="5" t="n">
        <v>-0.143</v>
      </c>
      <c r="I97" s="5" t="n">
        <v>-0.103</v>
      </c>
      <c r="J97" s="5" t="n">
        <v>-0.093</v>
      </c>
      <c r="K97" s="5" t="n">
        <v>-0.045</v>
      </c>
      <c r="L97" s="5" t="n">
        <v>-0.102</v>
      </c>
      <c r="M97" s="5" t="n">
        <v>0</v>
      </c>
      <c r="N97" s="5" t="n">
        <v>-0.18</v>
      </c>
      <c r="O97" s="5" t="n">
        <v>0</v>
      </c>
      <c r="P97" s="5" t="n">
        <v>0</v>
      </c>
      <c r="Q97" s="5" t="n">
        <v>-0.085</v>
      </c>
      <c r="R97" s="5" t="n">
        <v>-0.037</v>
      </c>
      <c r="S97" s="5" t="n">
        <v>-0.06</v>
      </c>
    </row>
    <row r="98" customFormat="false" ht="15" hidden="false" customHeight="false" outlineLevel="0" collapsed="false">
      <c r="B98" s="5" t="n">
        <v>3.842</v>
      </c>
      <c r="C98" s="5" t="n">
        <v>4.643</v>
      </c>
      <c r="D98" s="5" t="n">
        <v>1.637</v>
      </c>
      <c r="E98" s="5" t="n">
        <v>3.463</v>
      </c>
      <c r="F98" s="5" t="n">
        <v>4.25</v>
      </c>
      <c r="G98" s="5" t="n">
        <v>0</v>
      </c>
      <c r="H98" s="5" t="n">
        <v>3.439</v>
      </c>
      <c r="I98" s="5" t="n">
        <v>2.764</v>
      </c>
      <c r="J98" s="5" t="n">
        <v>2.786</v>
      </c>
      <c r="K98" s="5" t="n">
        <v>6.065</v>
      </c>
      <c r="L98" s="5" t="n">
        <v>8.394</v>
      </c>
      <c r="M98" s="5" t="n">
        <v>0</v>
      </c>
      <c r="N98" s="5" t="n">
        <v>3.605</v>
      </c>
      <c r="O98" s="5" t="n">
        <v>0</v>
      </c>
      <c r="P98" s="5" t="n">
        <v>0</v>
      </c>
      <c r="Q98" s="5" t="n">
        <v>2.216</v>
      </c>
      <c r="R98" s="5" t="n">
        <v>5.431</v>
      </c>
      <c r="S98" s="5" t="n">
        <v>8.212</v>
      </c>
    </row>
    <row r="99" customFormat="false" ht="15" hidden="false" customHeight="false" outlineLevel="0" collapsed="false">
      <c r="B99" s="5" t="n">
        <v>3.919</v>
      </c>
      <c r="C99" s="5" t="n">
        <v>0.392</v>
      </c>
      <c r="D99" s="5" t="n">
        <v>0</v>
      </c>
      <c r="E99" s="5" t="n">
        <v>5.081</v>
      </c>
      <c r="F99" s="5" t="n">
        <v>1.464</v>
      </c>
      <c r="G99" s="5" t="n">
        <v>0</v>
      </c>
      <c r="H99" s="5" t="n">
        <v>4.298</v>
      </c>
      <c r="I99" s="5" t="n">
        <v>0.837</v>
      </c>
      <c r="J99" s="5" t="n">
        <v>1.435</v>
      </c>
      <c r="K99" s="5" t="n">
        <v>1.91</v>
      </c>
      <c r="L99" s="5" t="n">
        <v>1.219</v>
      </c>
      <c r="M99" s="5" t="n">
        <v>0</v>
      </c>
      <c r="N99" s="5" t="n">
        <v>1.647</v>
      </c>
      <c r="O99" s="5" t="n">
        <v>0</v>
      </c>
      <c r="P99" s="5" t="n">
        <v>0</v>
      </c>
      <c r="Q99" s="5" t="n">
        <v>1.959</v>
      </c>
      <c r="R99" s="5" t="n">
        <v>0</v>
      </c>
      <c r="S99" s="5" t="n">
        <v>4.917</v>
      </c>
    </row>
  </sheetData>
  <mergeCells count="65">
    <mergeCell ref="F2:G2"/>
    <mergeCell ref="H2:I2"/>
    <mergeCell ref="J2:K2"/>
    <mergeCell ref="L2:M2"/>
    <mergeCell ref="N2:O2"/>
    <mergeCell ref="P2:Q2"/>
    <mergeCell ref="R2:S2"/>
    <mergeCell ref="T2:U2"/>
    <mergeCell ref="V2:W2"/>
    <mergeCell ref="X2:Y2"/>
    <mergeCell ref="Z2:AA2"/>
    <mergeCell ref="AB2:AC2"/>
    <mergeCell ref="F3:G3"/>
    <mergeCell ref="H3:I3"/>
    <mergeCell ref="J3:K3"/>
    <mergeCell ref="L3:M3"/>
    <mergeCell ref="N3:O3"/>
    <mergeCell ref="P3:Q3"/>
    <mergeCell ref="R3:S3"/>
    <mergeCell ref="T3:U3"/>
    <mergeCell ref="V3:W3"/>
    <mergeCell ref="X3:Y3"/>
    <mergeCell ref="Z3:AA3"/>
    <mergeCell ref="AB3:AC3"/>
    <mergeCell ref="F4:G4"/>
    <mergeCell ref="H4:I4"/>
    <mergeCell ref="J4:K4"/>
    <mergeCell ref="L4:M4"/>
    <mergeCell ref="N4:O4"/>
    <mergeCell ref="P4:Q4"/>
    <mergeCell ref="R4:S4"/>
    <mergeCell ref="T4:U4"/>
    <mergeCell ref="V4:W4"/>
    <mergeCell ref="X4:Y4"/>
    <mergeCell ref="Z4:AA4"/>
    <mergeCell ref="AB4:AC4"/>
    <mergeCell ref="F5:G5"/>
    <mergeCell ref="H5:I5"/>
    <mergeCell ref="J5:K5"/>
    <mergeCell ref="L5:M5"/>
    <mergeCell ref="N5:O5"/>
    <mergeCell ref="P5:Q5"/>
    <mergeCell ref="R5:S5"/>
    <mergeCell ref="T5:U5"/>
    <mergeCell ref="V5:W5"/>
    <mergeCell ref="X5:Y5"/>
    <mergeCell ref="Z5:AA5"/>
    <mergeCell ref="AB5:AC5"/>
    <mergeCell ref="D9:D12"/>
    <mergeCell ref="D13:D16"/>
    <mergeCell ref="D17:D20"/>
    <mergeCell ref="D21:D24"/>
    <mergeCell ref="D25:D28"/>
    <mergeCell ref="AJ47:AK47"/>
    <mergeCell ref="AL47:AM47"/>
    <mergeCell ref="AN47:AO47"/>
    <mergeCell ref="B78:C78"/>
    <mergeCell ref="D78:E78"/>
    <mergeCell ref="F78:G78"/>
    <mergeCell ref="H78:I78"/>
    <mergeCell ref="J78:K78"/>
    <mergeCell ref="L78:M78"/>
    <mergeCell ref="N78:O78"/>
    <mergeCell ref="P78:Q78"/>
    <mergeCell ref="R78:S78"/>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1438</TotalTime>
  <Application>LibreOffice/7.3.7.2$Linux_X86_64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
  <dc:description/>
  <dc:language>en-US</dc:language>
  <cp:lastModifiedBy>Ιακωβίδης Μηνάς</cp:lastModifiedBy>
  <dcterms:modified xsi:type="dcterms:W3CDTF">2024-01-31T18:48:20Z</dcterms:modified>
  <cp:revision>45</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0x01010084411FB9832E6648899D56991E92260E</vt:lpwstr>
  </property>
  <property fmtid="{D5CDD505-2E9C-101B-9397-08002B2CF9AE}" pid="3" name="HyperlinksChanged">
    <vt:bool>0</vt:bool>
  </property>
  <property fmtid="{D5CDD505-2E9C-101B-9397-08002B2CF9AE}" pid="4" name="LinksUpToDate">
    <vt:bool>0</vt:bool>
  </property>
  <property fmtid="{D5CDD505-2E9C-101B-9397-08002B2CF9AE}" pid="5" name="ScaleCrop">
    <vt:bool>0</vt:bool>
  </property>
  <property fmtid="{D5CDD505-2E9C-101B-9397-08002B2CF9AE}" pid="6" name="ShareDoc">
    <vt:bool>0</vt:bool>
  </property>
</Properties>
</file>